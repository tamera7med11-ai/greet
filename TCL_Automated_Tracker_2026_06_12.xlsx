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moter Tracker" sheetId="2" state="visible" r:id="rId2"/>
    <sheet name="Training Plan" sheetId="3" state="visible" r:id="rId3"/>
    <sheet name="Competition Scorer" sheetId="4" state="visible" r:id="rId4"/>
    <sheet name="Leader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 &quot;SAR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color rgb="001A1A2E"/>
      <sz val="11"/>
    </font>
    <font>
      <name val="Calibri"/>
      <i val="1"/>
      <color rgb="001A1A2E"/>
      <sz val="10"/>
    </font>
    <font>
      <name val="Calibri"/>
      <b val="1"/>
      <color rgb="00FFFFFF"/>
      <sz val="11"/>
    </font>
    <font>
      <name val="Calibri"/>
      <b val="1"/>
      <color rgb="00C8102E"/>
      <sz val="11"/>
    </font>
    <font>
      <name val="Calibri"/>
      <b val="1"/>
      <color rgb="001A1A2E"/>
      <sz val="11"/>
    </font>
    <font>
      <name val="Calibri"/>
      <color rgb="001A1A2E"/>
      <sz val="14"/>
    </font>
    <font>
      <name val="Calibri"/>
      <color rgb="001A1A2E"/>
      <sz val="10"/>
    </font>
    <font>
      <name val="Calibri"/>
      <b val="1"/>
      <color rgb="00C8102E"/>
      <sz val="12"/>
    </font>
    <font>
      <name val="Calibri"/>
      <b val="1"/>
      <color rgb="001A7A3C"/>
      <sz val="12"/>
    </font>
    <font>
      <name val="Calibri"/>
      <b val="1"/>
      <color rgb="00C8102E"/>
      <sz val="14"/>
    </font>
    <font>
      <name val="Calibri"/>
      <i val="1"/>
      <color rgb="001A1A2E"/>
      <sz val="9"/>
    </font>
    <font>
      <name val="Calibri"/>
      <b val="1"/>
      <color rgb="001A1A2E"/>
      <sz val="9"/>
    </font>
    <font>
      <name val="Calibri"/>
      <b val="1"/>
      <color rgb="00F5F5F5"/>
      <sz val="14"/>
    </font>
    <font>
      <name val="Calibri"/>
      <b val="1"/>
      <color rgb="001A1A2E"/>
      <sz val="14"/>
    </font>
    <font>
      <name val="Calibri"/>
      <b val="1"/>
      <color rgb="00C8102E"/>
      <sz val="13"/>
    </font>
    <font>
      <name val="Calibri"/>
      <color rgb="001A1A2E"/>
      <sz val="16"/>
    </font>
  </fonts>
  <fills count="10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3CC"/>
      </patternFill>
    </fill>
    <fill>
      <patternFill patternType="solid">
        <fgColor rgb="00DDFFD6"/>
      </patternFill>
    </fill>
    <fill>
      <patternFill patternType="solid">
        <fgColor rgb="00FAD7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9" fontId="12" fillId="7" borderId="0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9" fontId="0" fillId="8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Calibri"/>
        <b val="1"/>
        <color rgb="001A1A2E"/>
      </font>
      <fill>
        <patternFill patternType="solid">
          <fgColor rgb="00C8102E"/>
        </patternFill>
      </fill>
    </dxf>
    <dxf>
      <font>
        <name val="Calibri"/>
        <b val="1"/>
        <color rgb="001A1A2E"/>
      </font>
      <fill>
        <patternFill patternType="solid">
          <fgColor rgb="00FFD700"/>
        </patternFill>
      </fill>
    </dxf>
    <dxf>
      <font>
        <name val="Calibri"/>
        <b val="1"/>
        <color rgb="001A1A2E"/>
      </font>
      <fill>
        <patternFill patternType="solid">
          <fgColor rgb="00C0C0C0"/>
        </patternFill>
      </fill>
    </dxf>
    <dxf>
      <font>
        <name val="Calibri"/>
        <b val="1"/>
        <color rgb="001A1A2E"/>
      </font>
      <fill>
        <patternFill patternType="solid">
          <fgColor rgb="00CD7F32"/>
        </patternFill>
      </fill>
    </dxf>
    <dxf>
      <fill>
        <patternFill patternType="solid">
          <fgColor rgb="00DDFFD6"/>
        </patternFill>
      </fill>
    </dxf>
    <dxf>
      <fill>
        <patternFill patternType="solid">
          <fgColor rgb="00FAD7DC"/>
        </patternFill>
      </fill>
    </dxf>
    <dxf>
      <fill>
        <patternFill patternType="solid">
          <fgColor rgb="00D9D9D9"/>
        </patternFill>
      </fill>
    </dxf>
    <dxf>
      <font>
        <name val="Calibri"/>
        <b val="1"/>
      </font>
      <fill>
        <patternFill patternType="solid">
          <fgColor rgb="00FAD7DC"/>
        </patternFill>
      </fill>
    </dxf>
    <dxf>
      <font>
        <name val="Calibri"/>
        <b val="1"/>
      </font>
      <fill>
        <patternFill patternType="solid">
          <fgColor rgb="00FFF3CC"/>
        </patternFill>
      </fill>
    </dxf>
    <dxf>
      <font>
        <name val="Calibri"/>
        <b val="1"/>
      </font>
      <fill>
        <patternFill patternType="solid">
          <fgColor rgb="00DDFF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0" customWidth="1" min="4" max="4"/>
    <col width="20" customWidth="1" min="5" max="5"/>
  </cols>
  <sheetData>
    <row r="1" ht="38" customHeight="1">
      <c r="A1" s="1" t="inlineStr">
        <is>
          <t>TCL ELECTRONICS KSA — AUTOMATED TRAINING TRACKER</t>
        </is>
      </c>
    </row>
    <row r="2" ht="20" customHeight="1">
      <c r="A2" s="2" t="inlineStr">
        <is>
          <t>Complete guide to using this workbook</t>
        </is>
      </c>
    </row>
    <row r="4" ht="28" customHeight="1">
      <c r="A4" s="3" t="inlineStr">
        <is>
          <t>📋  PROMOTER TRACKER</t>
        </is>
      </c>
    </row>
    <row r="5" ht="22" customHeight="1">
      <c r="A5" s="4" t="inlineStr">
        <is>
          <t>1. Go to the 'Promoter Tracker' sheet</t>
        </is>
      </c>
    </row>
    <row r="6" ht="22" customHeight="1">
      <c r="A6" s="5" t="inlineStr">
        <is>
          <t>2. Enter Name and Store in the yellow cells (rows 5–24)</t>
        </is>
      </c>
    </row>
    <row r="7" ht="22" customHeight="1">
      <c r="A7" s="4" t="inlineStr">
        <is>
          <t>3. Change quiz status using the dropdown: Pass / Fail / Pending</t>
        </is>
      </c>
    </row>
    <row r="8" ht="22" customHeight="1">
      <c r="A8" s="5" t="inlineStr">
        <is>
          <t>4. Enter competition points earned in column G</t>
        </is>
      </c>
    </row>
    <row r="9" ht="22" customHeight="1">
      <c r="A9" s="4" t="inlineStr">
        <is>
          <t>5. Points, Level, and Badge are calculated automatically</t>
        </is>
      </c>
    </row>
    <row r="11" ht="28" customHeight="1">
      <c r="A11" s="3" t="inlineStr">
        <is>
          <t>🗓  TRAINING PLAN</t>
        </is>
      </c>
    </row>
    <row r="12" ht="22" customHeight="1">
      <c r="A12" s="5" t="inlineStr">
        <is>
          <t>1. Go to the 'Training Plan' sheet</t>
        </is>
      </c>
    </row>
    <row r="13" ht="22" customHeight="1">
      <c r="A13" s="4" t="inlineStr">
        <is>
          <t>2. Select a status from the dropdown in column E: ✓ Done / ○ To Do / — Skip</t>
        </is>
      </c>
    </row>
    <row r="14" ht="22" customHeight="1">
      <c r="A14" s="5" t="inlineStr">
        <is>
          <t>3. The progress bar and counter update automatically</t>
        </is>
      </c>
    </row>
    <row r="15" ht="22" customHeight="1">
      <c r="A15" s="4" t="inlineStr">
        <is>
          <t>4. Add notes in column G for any session</t>
        </is>
      </c>
    </row>
    <row r="17" ht="28" customHeight="1">
      <c r="A17" s="3" t="inlineStr">
        <is>
          <t>🏆  COMPETITION SCORER</t>
        </is>
      </c>
    </row>
    <row r="18" ht="22" customHeight="1">
      <c r="A18" s="5" t="inlineStr">
        <is>
          <t>1. Go to the 'Competition Scorer' sheet</t>
        </is>
      </c>
    </row>
    <row r="19" ht="22" customHeight="1">
      <c r="A19" s="4" t="inlineStr">
        <is>
          <t>2. Enter the competition name in cell D4</t>
        </is>
      </c>
    </row>
    <row r="20" ht="22" customHeight="1">
      <c r="A20" s="5" t="inlineStr">
        <is>
          <t>3. Enter promoter names and stores in columns B and C</t>
        </is>
      </c>
    </row>
    <row r="21" ht="22" customHeight="1">
      <c r="A21" s="4" t="inlineStr">
        <is>
          <t>4. Score each criterion 1–4 (Knowledge, Creativity, Selling)</t>
        </is>
      </c>
    </row>
    <row r="22" ht="22" customHeight="1">
      <c r="A22" s="5" t="inlineStr">
        <is>
          <t>5. Weighted score, ranking, and award (SAR) appear automatically</t>
        </is>
      </c>
    </row>
    <row r="23" ht="22" customHeight="1">
      <c r="A23" s="4" t="inlineStr">
        <is>
          <t>6. Top 3 are highlighted in red / yellow / green</t>
        </is>
      </c>
    </row>
    <row r="25" ht="28" customHeight="1">
      <c r="A25" s="3" t="inlineStr">
        <is>
          <t>📊  LEADERBOARD</t>
        </is>
      </c>
    </row>
    <row r="26" ht="22" customHeight="1">
      <c r="A26" s="5" t="inlineStr">
        <is>
          <t>1. Go to the 'Leaderboard' sheet</t>
        </is>
      </c>
    </row>
    <row r="27" ht="22" customHeight="1">
      <c r="A27" s="4" t="inlineStr">
        <is>
          <t>2. It reads live from Promoter Tracker — no manual update needed</t>
        </is>
      </c>
    </row>
    <row r="28" ht="22" customHeight="1">
      <c r="A28" s="5" t="inlineStr">
        <is>
          <t>3. Refreshes automatically when you change data in Promoter Tracker</t>
        </is>
      </c>
    </row>
    <row r="30" ht="28" customHeight="1">
      <c r="A30" s="3" t="inlineStr">
        <is>
          <t>💡  TIPS</t>
        </is>
      </c>
    </row>
    <row r="31" ht="22" customHeight="1">
      <c r="A31" s="4" t="inlineStr">
        <is>
          <t>• Save frequently — Ctrl+S</t>
        </is>
      </c>
    </row>
    <row r="32" ht="22" customHeight="1">
      <c r="A32" s="5" t="inlineStr">
        <is>
          <t>• Use Ctrl+Z to undo any mistakes</t>
        </is>
      </c>
    </row>
    <row r="33" ht="22" customHeight="1">
      <c r="A33" s="4" t="inlineStr">
        <is>
          <t>• Yellow cells = input  |  White/grey cells = calculated automatically</t>
        </is>
      </c>
    </row>
    <row r="34" ht="22" customHeight="1">
      <c r="A34" s="5" t="inlineStr">
        <is>
          <t>• Do NOT edit the calculated columns (Points, Level, Badge, Score)</t>
        </is>
      </c>
    </row>
    <row r="35" ht="22" customHeight="1">
      <c r="A35" s="4" t="inlineStr">
        <is>
          <t>• To add more than 20 promoters, copy and extend the row formulas</t>
        </is>
      </c>
    </row>
  </sheetData>
  <mergeCells count="30">
    <mergeCell ref="A30:E30"/>
    <mergeCell ref="A34:E34"/>
    <mergeCell ref="A15:E15"/>
    <mergeCell ref="A11:E11"/>
    <mergeCell ref="A1:E1"/>
    <mergeCell ref="A6:E6"/>
    <mergeCell ref="A7:E7"/>
    <mergeCell ref="A25:E25"/>
    <mergeCell ref="A18:E18"/>
    <mergeCell ref="A27:E27"/>
    <mergeCell ref="A21:E21"/>
    <mergeCell ref="A12:E12"/>
    <mergeCell ref="A26:E26"/>
    <mergeCell ref="A2:E2"/>
    <mergeCell ref="A33:E33"/>
    <mergeCell ref="A5:E5"/>
    <mergeCell ref="A23:E23"/>
    <mergeCell ref="A32:E32"/>
    <mergeCell ref="A14:E14"/>
    <mergeCell ref="A8:E8"/>
    <mergeCell ref="A22:E22"/>
    <mergeCell ref="A17:E17"/>
    <mergeCell ref="A35:E35"/>
    <mergeCell ref="A4:E4"/>
    <mergeCell ref="A20:E2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8" customWidth="1" min="10" max="10"/>
    <col width="4" customWidth="1" min="11" max="11"/>
    <col width="18" customWidth="1" min="12" max="12"/>
    <col width="10" customWidth="1" min="13" max="13"/>
  </cols>
  <sheetData>
    <row r="1" ht="38" customHeight="1">
      <c r="A1" s="1" t="inlineStr">
        <is>
          <t>TCL PROMOTER TRACKER — KSA</t>
        </is>
      </c>
      <c r="L1" t="inlineStr">
        <is>
          <t>Bronze pts</t>
        </is>
      </c>
      <c r="M1" t="n">
        <v>10</v>
      </c>
    </row>
    <row r="2" ht="20" customHeight="1">
      <c r="A2" s="2" t="inlineStr">
        <is>
          <t>Auto-calculates Points, Level &amp; Status  |  Updated: 12 June 2026</t>
        </is>
      </c>
      <c r="L2" t="inlineStr">
        <is>
          <t>Silver pts</t>
        </is>
      </c>
      <c r="M2" t="n">
        <v>20</v>
      </c>
    </row>
    <row r="3" ht="22" customHeight="1">
      <c r="A3" s="6" t="inlineStr">
        <is>
          <t>📝  HOW TO USE:  Enter promoter data in the yellow cells. Points, Level, and Status are calculated automatically.</t>
        </is>
      </c>
      <c r="L3" t="inlineStr">
        <is>
          <t>Gold pts</t>
        </is>
      </c>
      <c r="M3" t="n">
        <v>35</v>
      </c>
    </row>
    <row r="4" ht="36" customHeight="1">
      <c r="A4" s="7" t="inlineStr">
        <is>
          <t>ID</t>
        </is>
      </c>
      <c r="B4" s="7" t="inlineStr">
        <is>
          <t>Name</t>
        </is>
      </c>
      <c r="C4" s="7" t="inlineStr">
        <is>
          <t>Store / Region</t>
        </is>
      </c>
      <c r="D4" s="7" t="inlineStr">
        <is>
          <t>Bronze
Quiz</t>
        </is>
      </c>
      <c r="E4" s="7" t="inlineStr">
        <is>
          <t>Silver
Quiz</t>
        </is>
      </c>
      <c r="F4" s="7" t="inlineStr">
        <is>
          <t>Gold
Quiz</t>
        </is>
      </c>
      <c r="G4" s="7" t="inlineStr">
        <is>
          <t>Competition
Points</t>
        </is>
      </c>
      <c r="H4" s="7" t="inlineStr">
        <is>
          <t>Total
Points</t>
        </is>
      </c>
      <c r="I4" s="7" t="inlineStr">
        <is>
          <t>Level</t>
        </is>
      </c>
      <c r="J4" s="7" t="inlineStr">
        <is>
          <t>Badge</t>
        </is>
      </c>
    </row>
    <row r="5" ht="22" customHeight="1">
      <c r="A5" s="8" t="inlineStr">
        <is>
          <t>P001</t>
        </is>
      </c>
      <c r="B5" s="9" t="inlineStr"/>
      <c r="C5" s="9" t="inlineStr"/>
      <c r="D5" s="10" t="inlineStr">
        <is>
          <t>Pending</t>
        </is>
      </c>
      <c r="E5" s="10" t="inlineStr">
        <is>
          <t>Pending</t>
        </is>
      </c>
      <c r="F5" s="10" t="inlineStr">
        <is>
          <t>Pending</t>
        </is>
      </c>
      <c r="G5" s="10" t="n">
        <v>0</v>
      </c>
      <c r="H5" s="11">
        <f>IF(D5="Pass",$M$1,0)+IF(E5="Pass",$M$2,0)+IF(F5="Pass",$M$3,0)+G5</f>
        <v/>
      </c>
      <c r="I5" s="12">
        <f>IF(H5&gt;=150,"Champion",IF(H5&gt;=100,"Gold",IF(H5&gt;=50,"Silver",IF(H5&gt;0,"Bronze","—"))))</f>
        <v/>
      </c>
      <c r="J5" s="13">
        <f>IF(I5="Champion","🏆",IF(I5="Gold","🥇",IF(I5="Silver","🥈",IF(I5="Bronze","🥉","—"))))</f>
        <v/>
      </c>
      <c r="L5" s="14" t="inlineStr">
        <is>
          <t>TEAM SUMMARY</t>
        </is>
      </c>
    </row>
    <row r="6" ht="22" customHeight="1">
      <c r="A6" s="15" t="inlineStr">
        <is>
          <t>P002</t>
        </is>
      </c>
      <c r="B6" s="9" t="inlineStr"/>
      <c r="C6" s="9" t="inlineStr"/>
      <c r="D6" s="10" t="inlineStr">
        <is>
          <t>Pending</t>
        </is>
      </c>
      <c r="E6" s="10" t="inlineStr">
        <is>
          <t>Pending</t>
        </is>
      </c>
      <c r="F6" s="10" t="inlineStr">
        <is>
          <t>Pending</t>
        </is>
      </c>
      <c r="G6" s="10" t="n">
        <v>0</v>
      </c>
      <c r="H6" s="16">
        <f>IF(D6="Pass",$M$1,0)+IF(E6="Pass",$M$2,0)+IF(F6="Pass",$M$3,0)+G6</f>
        <v/>
      </c>
      <c r="I6" s="17">
        <f>IF(H6&gt;=150,"Champion",IF(H6&gt;=100,"Gold",IF(H6&gt;=50,"Silver",IF(H6&gt;0,"Bronze","—"))))</f>
        <v/>
      </c>
      <c r="J6" s="18">
        <f>IF(I6="Champion","🏆",IF(I6="Gold","🥇",IF(I6="Silver","🥈",IF(I6="Bronze","🥉","—"))))</f>
        <v/>
      </c>
      <c r="L6" s="19" t="inlineStr">
        <is>
          <t>Total Promoters</t>
        </is>
      </c>
      <c r="M6" s="20">
        <f>COUNTA(B5:B24)</f>
        <v/>
      </c>
    </row>
    <row r="7" ht="22" customHeight="1">
      <c r="A7" s="8" t="inlineStr">
        <is>
          <t>P003</t>
        </is>
      </c>
      <c r="B7" s="9" t="inlineStr"/>
      <c r="C7" s="9" t="inlineStr"/>
      <c r="D7" s="10" t="inlineStr">
        <is>
          <t>Pending</t>
        </is>
      </c>
      <c r="E7" s="10" t="inlineStr">
        <is>
          <t>Pending</t>
        </is>
      </c>
      <c r="F7" s="10" t="inlineStr">
        <is>
          <t>Pending</t>
        </is>
      </c>
      <c r="G7" s="10" t="n">
        <v>0</v>
      </c>
      <c r="H7" s="11">
        <f>IF(D7="Pass",$M$1,0)+IF(E7="Pass",$M$2,0)+IF(F7="Pass",$M$3,0)+G7</f>
        <v/>
      </c>
      <c r="I7" s="12">
        <f>IF(H7&gt;=150,"Champion",IF(H7&gt;=100,"Gold",IF(H7&gt;=50,"Silver",IF(H7&gt;0,"Bronze","—"))))</f>
        <v/>
      </c>
      <c r="J7" s="13">
        <f>IF(I7="Champion","🏆",IF(I7="Gold","🥇",IF(I7="Silver","🥈",IF(I7="Bronze","🥉","—"))))</f>
        <v/>
      </c>
      <c r="L7" s="19" t="inlineStr">
        <is>
          <t>Avg Points</t>
        </is>
      </c>
      <c r="M7" s="20">
        <f>IFERROR(AVERAGE(H5:H24),0)</f>
        <v/>
      </c>
    </row>
    <row r="8" ht="22" customHeight="1">
      <c r="A8" s="15" t="inlineStr">
        <is>
          <t>P004</t>
        </is>
      </c>
      <c r="B8" s="9" t="inlineStr"/>
      <c r="C8" s="9" t="inlineStr"/>
      <c r="D8" s="10" t="inlineStr">
        <is>
          <t>Pending</t>
        </is>
      </c>
      <c r="E8" s="10" t="inlineStr">
        <is>
          <t>Pending</t>
        </is>
      </c>
      <c r="F8" s="10" t="inlineStr">
        <is>
          <t>Pending</t>
        </is>
      </c>
      <c r="G8" s="10" t="n">
        <v>0</v>
      </c>
      <c r="H8" s="16">
        <f>IF(D8="Pass",$M$1,0)+IF(E8="Pass",$M$2,0)+IF(F8="Pass",$M$3,0)+G8</f>
        <v/>
      </c>
      <c r="I8" s="17">
        <f>IF(H8&gt;=150,"Champion",IF(H8&gt;=100,"Gold",IF(H8&gt;=50,"Silver",IF(H8&gt;0,"Bronze","—"))))</f>
        <v/>
      </c>
      <c r="J8" s="18">
        <f>IF(I8="Champion","🏆",IF(I8="Gold","🥇",IF(I8="Silver","🥈",IF(I8="Bronze","🥉","—"))))</f>
        <v/>
      </c>
      <c r="L8" s="19" t="inlineStr">
        <is>
          <t>Champions</t>
        </is>
      </c>
      <c r="M8" s="20">
        <f>COUNTIF(I5:I24,"Champion")</f>
        <v/>
      </c>
    </row>
    <row r="9" ht="22" customHeight="1">
      <c r="A9" s="8" t="inlineStr">
        <is>
          <t>P005</t>
        </is>
      </c>
      <c r="B9" s="9" t="inlineStr"/>
      <c r="C9" s="9" t="inlineStr"/>
      <c r="D9" s="10" t="inlineStr">
        <is>
          <t>Pending</t>
        </is>
      </c>
      <c r="E9" s="10" t="inlineStr">
        <is>
          <t>Pending</t>
        </is>
      </c>
      <c r="F9" s="10" t="inlineStr">
        <is>
          <t>Pending</t>
        </is>
      </c>
      <c r="G9" s="10" t="n">
        <v>0</v>
      </c>
      <c r="H9" s="11">
        <f>IF(D9="Pass",$M$1,0)+IF(E9="Pass",$M$2,0)+IF(F9="Pass",$M$3,0)+G9</f>
        <v/>
      </c>
      <c r="I9" s="12">
        <f>IF(H9&gt;=150,"Champion",IF(H9&gt;=100,"Gold",IF(H9&gt;=50,"Silver",IF(H9&gt;0,"Bronze","—"))))</f>
        <v/>
      </c>
      <c r="J9" s="13">
        <f>IF(I9="Champion","🏆",IF(I9="Gold","🥇",IF(I9="Silver","🥈",IF(I9="Bronze","🥉","—"))))</f>
        <v/>
      </c>
      <c r="L9" s="19" t="inlineStr">
        <is>
          <t>Gold</t>
        </is>
      </c>
      <c r="M9" s="20">
        <f>COUNTIF(I5:I24,"Gold")</f>
        <v/>
      </c>
    </row>
    <row r="10" ht="22" customHeight="1">
      <c r="A10" s="15" t="inlineStr">
        <is>
          <t>P006</t>
        </is>
      </c>
      <c r="B10" s="9" t="inlineStr"/>
      <c r="C10" s="9" t="inlineStr"/>
      <c r="D10" s="10" t="inlineStr">
        <is>
          <t>Pending</t>
        </is>
      </c>
      <c r="E10" s="10" t="inlineStr">
        <is>
          <t>Pending</t>
        </is>
      </c>
      <c r="F10" s="10" t="inlineStr">
        <is>
          <t>Pending</t>
        </is>
      </c>
      <c r="G10" s="10" t="n">
        <v>0</v>
      </c>
      <c r="H10" s="16">
        <f>IF(D10="Pass",$M$1,0)+IF(E10="Pass",$M$2,0)+IF(F10="Pass",$M$3,0)+G10</f>
        <v/>
      </c>
      <c r="I10" s="17">
        <f>IF(H10&gt;=150,"Champion",IF(H10&gt;=100,"Gold",IF(H10&gt;=50,"Silver",IF(H10&gt;0,"Bronze","—"))))</f>
        <v/>
      </c>
      <c r="J10" s="18">
        <f>IF(I10="Champion","🏆",IF(I10="Gold","🥇",IF(I10="Silver","🥈",IF(I10="Bronze","🥉","—"))))</f>
        <v/>
      </c>
      <c r="L10" s="19" t="inlineStr">
        <is>
          <t>Silver</t>
        </is>
      </c>
      <c r="M10" s="20">
        <f>COUNTIF(I5:I24,"Silver")</f>
        <v/>
      </c>
    </row>
    <row r="11" ht="22" customHeight="1">
      <c r="A11" s="8" t="inlineStr">
        <is>
          <t>P007</t>
        </is>
      </c>
      <c r="B11" s="9" t="inlineStr"/>
      <c r="C11" s="9" t="inlineStr"/>
      <c r="D11" s="10" t="inlineStr">
        <is>
          <t>Pending</t>
        </is>
      </c>
      <c r="E11" s="10" t="inlineStr">
        <is>
          <t>Pending</t>
        </is>
      </c>
      <c r="F11" s="10" t="inlineStr">
        <is>
          <t>Pending</t>
        </is>
      </c>
      <c r="G11" s="10" t="n">
        <v>0</v>
      </c>
      <c r="H11" s="11">
        <f>IF(D11="Pass",$M$1,0)+IF(E11="Pass",$M$2,0)+IF(F11="Pass",$M$3,0)+G11</f>
        <v/>
      </c>
      <c r="I11" s="12">
        <f>IF(H11&gt;=150,"Champion",IF(H11&gt;=100,"Gold",IF(H11&gt;=50,"Silver",IF(H11&gt;0,"Bronze","—"))))</f>
        <v/>
      </c>
      <c r="J11" s="13">
        <f>IF(I11="Champion","🏆",IF(I11="Gold","🥇",IF(I11="Silver","🥈",IF(I11="Bronze","🥉","—"))))</f>
        <v/>
      </c>
      <c r="L11" s="19" t="inlineStr">
        <is>
          <t>Bronze</t>
        </is>
      </c>
      <c r="M11" s="20">
        <f>COUNTIF(I5:I24,"Bronze")</f>
        <v/>
      </c>
    </row>
    <row r="12" ht="22" customHeight="1">
      <c r="A12" s="15" t="inlineStr">
        <is>
          <t>P008</t>
        </is>
      </c>
      <c r="B12" s="9" t="inlineStr"/>
      <c r="C12" s="9" t="inlineStr"/>
      <c r="D12" s="10" t="inlineStr">
        <is>
          <t>Pending</t>
        </is>
      </c>
      <c r="E12" s="10" t="inlineStr">
        <is>
          <t>Pending</t>
        </is>
      </c>
      <c r="F12" s="10" t="inlineStr">
        <is>
          <t>Pending</t>
        </is>
      </c>
      <c r="G12" s="10" t="n">
        <v>0</v>
      </c>
      <c r="H12" s="16">
        <f>IF(D12="Pass",$M$1,0)+IF(E12="Pass",$M$2,0)+IF(F12="Pass",$M$3,0)+G12</f>
        <v/>
      </c>
      <c r="I12" s="17">
        <f>IF(H12&gt;=150,"Champion",IF(H12&gt;=100,"Gold",IF(H12&gt;=50,"Silver",IF(H12&gt;0,"Bronze","—"))))</f>
        <v/>
      </c>
      <c r="J12" s="18">
        <f>IF(I12="Champion","🏆",IF(I12="Gold","🥇",IF(I12="Silver","🥈",IF(I12="Bronze","🥉","—"))))</f>
        <v/>
      </c>
      <c r="L12" s="19" t="inlineStr">
        <is>
          <t>Quizzes Passed</t>
        </is>
      </c>
      <c r="M12" s="20">
        <f>COUNTIF(D5:F24,"Pass")</f>
        <v/>
      </c>
    </row>
    <row r="13" ht="22" customHeight="1">
      <c r="A13" s="8" t="inlineStr">
        <is>
          <t>P009</t>
        </is>
      </c>
      <c r="B13" s="9" t="inlineStr"/>
      <c r="C13" s="9" t="inlineStr"/>
      <c r="D13" s="10" t="inlineStr">
        <is>
          <t>Pending</t>
        </is>
      </c>
      <c r="E13" s="10" t="inlineStr">
        <is>
          <t>Pending</t>
        </is>
      </c>
      <c r="F13" s="10" t="inlineStr">
        <is>
          <t>Pending</t>
        </is>
      </c>
      <c r="G13" s="10" t="n">
        <v>0</v>
      </c>
      <c r="H13" s="11">
        <f>IF(D13="Pass",$M$1,0)+IF(E13="Pass",$M$2,0)+IF(F13="Pass",$M$3,0)+G13</f>
        <v/>
      </c>
      <c r="I13" s="12">
        <f>IF(H13&gt;=150,"Champion",IF(H13&gt;=100,"Gold",IF(H13&gt;=50,"Silver",IF(H13&gt;0,"Bronze","—"))))</f>
        <v/>
      </c>
      <c r="J13" s="13">
        <f>IF(I13="Champion","🏆",IF(I13="Gold","🥇",IF(I13="Silver","🥈",IF(I13="Bronze","🥉","—"))))</f>
        <v/>
      </c>
    </row>
    <row r="14" ht="22" customHeight="1">
      <c r="A14" s="15" t="inlineStr">
        <is>
          <t>P010</t>
        </is>
      </c>
      <c r="B14" s="9" t="inlineStr"/>
      <c r="C14" s="9" t="inlineStr"/>
      <c r="D14" s="10" t="inlineStr">
        <is>
          <t>Pending</t>
        </is>
      </c>
      <c r="E14" s="10" t="inlineStr">
        <is>
          <t>Pending</t>
        </is>
      </c>
      <c r="F14" s="10" t="inlineStr">
        <is>
          <t>Pending</t>
        </is>
      </c>
      <c r="G14" s="10" t="n">
        <v>0</v>
      </c>
      <c r="H14" s="16">
        <f>IF(D14="Pass",$M$1,0)+IF(E14="Pass",$M$2,0)+IF(F14="Pass",$M$3,0)+G14</f>
        <v/>
      </c>
      <c r="I14" s="17">
        <f>IF(H14&gt;=150,"Champion",IF(H14&gt;=100,"Gold",IF(H14&gt;=50,"Silver",IF(H14&gt;0,"Bronze","—"))))</f>
        <v/>
      </c>
      <c r="J14" s="18">
        <f>IF(I14="Champion","🏆",IF(I14="Gold","🥇",IF(I14="Silver","🥈",IF(I14="Bronze","🥉","—"))))</f>
        <v/>
      </c>
    </row>
    <row r="15" ht="22" customHeight="1">
      <c r="A15" s="8" t="inlineStr">
        <is>
          <t>P011</t>
        </is>
      </c>
      <c r="B15" s="9" t="inlineStr"/>
      <c r="C15" s="9" t="inlineStr"/>
      <c r="D15" s="10" t="inlineStr">
        <is>
          <t>Pending</t>
        </is>
      </c>
      <c r="E15" s="10" t="inlineStr">
        <is>
          <t>Pending</t>
        </is>
      </c>
      <c r="F15" s="10" t="inlineStr">
        <is>
          <t>Pending</t>
        </is>
      </c>
      <c r="G15" s="10" t="n">
        <v>0</v>
      </c>
      <c r="H15" s="11">
        <f>IF(D15="Pass",$M$1,0)+IF(E15="Pass",$M$2,0)+IF(F15="Pass",$M$3,0)+G15</f>
        <v/>
      </c>
      <c r="I15" s="12">
        <f>IF(H15&gt;=150,"Champion",IF(H15&gt;=100,"Gold",IF(H15&gt;=50,"Silver",IF(H15&gt;0,"Bronze","—"))))</f>
        <v/>
      </c>
      <c r="J15" s="13">
        <f>IF(I15="Champion","🏆",IF(I15="Gold","🥇",IF(I15="Silver","🥈",IF(I15="Bronze","🥉","—"))))</f>
        <v/>
      </c>
    </row>
    <row r="16" ht="22" customHeight="1">
      <c r="A16" s="15" t="inlineStr">
        <is>
          <t>P012</t>
        </is>
      </c>
      <c r="B16" s="9" t="inlineStr"/>
      <c r="C16" s="9" t="inlineStr"/>
      <c r="D16" s="10" t="inlineStr">
        <is>
          <t>Pending</t>
        </is>
      </c>
      <c r="E16" s="10" t="inlineStr">
        <is>
          <t>Pending</t>
        </is>
      </c>
      <c r="F16" s="10" t="inlineStr">
        <is>
          <t>Pending</t>
        </is>
      </c>
      <c r="G16" s="10" t="n">
        <v>0</v>
      </c>
      <c r="H16" s="16">
        <f>IF(D16="Pass",$M$1,0)+IF(E16="Pass",$M$2,0)+IF(F16="Pass",$M$3,0)+G16</f>
        <v/>
      </c>
      <c r="I16" s="17">
        <f>IF(H16&gt;=150,"Champion",IF(H16&gt;=100,"Gold",IF(H16&gt;=50,"Silver",IF(H16&gt;0,"Bronze","—"))))</f>
        <v/>
      </c>
      <c r="J16" s="18">
        <f>IF(I16="Champion","🏆",IF(I16="Gold","🥇",IF(I16="Silver","🥈",IF(I16="Bronze","🥉","—"))))</f>
        <v/>
      </c>
    </row>
    <row r="17" ht="22" customHeight="1">
      <c r="A17" s="8" t="inlineStr">
        <is>
          <t>P013</t>
        </is>
      </c>
      <c r="B17" s="9" t="inlineStr"/>
      <c r="C17" s="9" t="inlineStr"/>
      <c r="D17" s="10" t="inlineStr">
        <is>
          <t>Pending</t>
        </is>
      </c>
      <c r="E17" s="10" t="inlineStr">
        <is>
          <t>Pending</t>
        </is>
      </c>
      <c r="F17" s="10" t="inlineStr">
        <is>
          <t>Pending</t>
        </is>
      </c>
      <c r="G17" s="10" t="n">
        <v>0</v>
      </c>
      <c r="H17" s="11">
        <f>IF(D17="Pass",$M$1,0)+IF(E17="Pass",$M$2,0)+IF(F17="Pass",$M$3,0)+G17</f>
        <v/>
      </c>
      <c r="I17" s="12">
        <f>IF(H17&gt;=150,"Champion",IF(H17&gt;=100,"Gold",IF(H17&gt;=50,"Silver",IF(H17&gt;0,"Bronze","—"))))</f>
        <v/>
      </c>
      <c r="J17" s="13">
        <f>IF(I17="Champion","🏆",IF(I17="Gold","🥇",IF(I17="Silver","🥈",IF(I17="Bronze","🥉","—"))))</f>
        <v/>
      </c>
    </row>
    <row r="18" ht="22" customHeight="1">
      <c r="A18" s="15" t="inlineStr">
        <is>
          <t>P014</t>
        </is>
      </c>
      <c r="B18" s="9" t="inlineStr"/>
      <c r="C18" s="9" t="inlineStr"/>
      <c r="D18" s="10" t="inlineStr">
        <is>
          <t>Pending</t>
        </is>
      </c>
      <c r="E18" s="10" t="inlineStr">
        <is>
          <t>Pending</t>
        </is>
      </c>
      <c r="F18" s="10" t="inlineStr">
        <is>
          <t>Pending</t>
        </is>
      </c>
      <c r="G18" s="10" t="n">
        <v>0</v>
      </c>
      <c r="H18" s="16">
        <f>IF(D18="Pass",$M$1,0)+IF(E18="Pass",$M$2,0)+IF(F18="Pass",$M$3,0)+G18</f>
        <v/>
      </c>
      <c r="I18" s="17">
        <f>IF(H18&gt;=150,"Champion",IF(H18&gt;=100,"Gold",IF(H18&gt;=50,"Silver",IF(H18&gt;0,"Bronze","—"))))</f>
        <v/>
      </c>
      <c r="J18" s="18">
        <f>IF(I18="Champion","🏆",IF(I18="Gold","🥇",IF(I18="Silver","🥈",IF(I18="Bronze","🥉","—"))))</f>
        <v/>
      </c>
    </row>
    <row r="19" ht="22" customHeight="1">
      <c r="A19" s="8" t="inlineStr">
        <is>
          <t>P015</t>
        </is>
      </c>
      <c r="B19" s="9" t="inlineStr"/>
      <c r="C19" s="9" t="inlineStr"/>
      <c r="D19" s="10" t="inlineStr">
        <is>
          <t>Pending</t>
        </is>
      </c>
      <c r="E19" s="10" t="inlineStr">
        <is>
          <t>Pending</t>
        </is>
      </c>
      <c r="F19" s="10" t="inlineStr">
        <is>
          <t>Pending</t>
        </is>
      </c>
      <c r="G19" s="10" t="n">
        <v>0</v>
      </c>
      <c r="H19" s="11">
        <f>IF(D19="Pass",$M$1,0)+IF(E19="Pass",$M$2,0)+IF(F19="Pass",$M$3,0)+G19</f>
        <v/>
      </c>
      <c r="I19" s="12">
        <f>IF(H19&gt;=150,"Champion",IF(H19&gt;=100,"Gold",IF(H19&gt;=50,"Silver",IF(H19&gt;0,"Bronze","—"))))</f>
        <v/>
      </c>
      <c r="J19" s="13">
        <f>IF(I19="Champion","🏆",IF(I19="Gold","🥇",IF(I19="Silver","🥈",IF(I19="Bronze","🥉","—"))))</f>
        <v/>
      </c>
    </row>
    <row r="20" ht="22" customHeight="1">
      <c r="A20" s="15" t="inlineStr">
        <is>
          <t>P016</t>
        </is>
      </c>
      <c r="B20" s="9" t="inlineStr"/>
      <c r="C20" s="9" t="inlineStr"/>
      <c r="D20" s="10" t="inlineStr">
        <is>
          <t>Pending</t>
        </is>
      </c>
      <c r="E20" s="10" t="inlineStr">
        <is>
          <t>Pending</t>
        </is>
      </c>
      <c r="F20" s="10" t="inlineStr">
        <is>
          <t>Pending</t>
        </is>
      </c>
      <c r="G20" s="10" t="n">
        <v>0</v>
      </c>
      <c r="H20" s="16">
        <f>IF(D20="Pass",$M$1,0)+IF(E20="Pass",$M$2,0)+IF(F20="Pass",$M$3,0)+G20</f>
        <v/>
      </c>
      <c r="I20" s="17">
        <f>IF(H20&gt;=150,"Champion",IF(H20&gt;=100,"Gold",IF(H20&gt;=50,"Silver",IF(H20&gt;0,"Bronze","—"))))</f>
        <v/>
      </c>
      <c r="J20" s="18">
        <f>IF(I20="Champion","🏆",IF(I20="Gold","🥇",IF(I20="Silver","🥈",IF(I20="Bronze","🥉","—"))))</f>
        <v/>
      </c>
    </row>
    <row r="21" ht="22" customHeight="1">
      <c r="A21" s="8" t="inlineStr">
        <is>
          <t>P017</t>
        </is>
      </c>
      <c r="B21" s="9" t="inlineStr"/>
      <c r="C21" s="9" t="inlineStr"/>
      <c r="D21" s="10" t="inlineStr">
        <is>
          <t>Pending</t>
        </is>
      </c>
      <c r="E21" s="10" t="inlineStr">
        <is>
          <t>Pending</t>
        </is>
      </c>
      <c r="F21" s="10" t="inlineStr">
        <is>
          <t>Pending</t>
        </is>
      </c>
      <c r="G21" s="10" t="n">
        <v>0</v>
      </c>
      <c r="H21" s="11">
        <f>IF(D21="Pass",$M$1,0)+IF(E21="Pass",$M$2,0)+IF(F21="Pass",$M$3,0)+G21</f>
        <v/>
      </c>
      <c r="I21" s="12">
        <f>IF(H21&gt;=150,"Champion",IF(H21&gt;=100,"Gold",IF(H21&gt;=50,"Silver",IF(H21&gt;0,"Bronze","—"))))</f>
        <v/>
      </c>
      <c r="J21" s="13">
        <f>IF(I21="Champion","🏆",IF(I21="Gold","🥇",IF(I21="Silver","🥈",IF(I21="Bronze","🥉","—"))))</f>
        <v/>
      </c>
    </row>
    <row r="22" ht="22" customHeight="1">
      <c r="A22" s="15" t="inlineStr">
        <is>
          <t>P018</t>
        </is>
      </c>
      <c r="B22" s="9" t="inlineStr"/>
      <c r="C22" s="9" t="inlineStr"/>
      <c r="D22" s="10" t="inlineStr">
        <is>
          <t>Pending</t>
        </is>
      </c>
      <c r="E22" s="10" t="inlineStr">
        <is>
          <t>Pending</t>
        </is>
      </c>
      <c r="F22" s="10" t="inlineStr">
        <is>
          <t>Pending</t>
        </is>
      </c>
      <c r="G22" s="10" t="n">
        <v>0</v>
      </c>
      <c r="H22" s="16">
        <f>IF(D22="Pass",$M$1,0)+IF(E22="Pass",$M$2,0)+IF(F22="Pass",$M$3,0)+G22</f>
        <v/>
      </c>
      <c r="I22" s="17">
        <f>IF(H22&gt;=150,"Champion",IF(H22&gt;=100,"Gold",IF(H22&gt;=50,"Silver",IF(H22&gt;0,"Bronze","—"))))</f>
        <v/>
      </c>
      <c r="J22" s="18">
        <f>IF(I22="Champion","🏆",IF(I22="Gold","🥇",IF(I22="Silver","🥈",IF(I22="Bronze","🥉","—"))))</f>
        <v/>
      </c>
    </row>
    <row r="23" ht="22" customHeight="1">
      <c r="A23" s="8" t="inlineStr">
        <is>
          <t>P019</t>
        </is>
      </c>
      <c r="B23" s="9" t="inlineStr"/>
      <c r="C23" s="9" t="inlineStr"/>
      <c r="D23" s="10" t="inlineStr">
        <is>
          <t>Pending</t>
        </is>
      </c>
      <c r="E23" s="10" t="inlineStr">
        <is>
          <t>Pending</t>
        </is>
      </c>
      <c r="F23" s="10" t="inlineStr">
        <is>
          <t>Pending</t>
        </is>
      </c>
      <c r="G23" s="10" t="n">
        <v>0</v>
      </c>
      <c r="H23" s="11">
        <f>IF(D23="Pass",$M$1,0)+IF(E23="Pass",$M$2,0)+IF(F23="Pass",$M$3,0)+G23</f>
        <v/>
      </c>
      <c r="I23" s="12">
        <f>IF(H23&gt;=150,"Champion",IF(H23&gt;=100,"Gold",IF(H23&gt;=50,"Silver",IF(H23&gt;0,"Bronze","—"))))</f>
        <v/>
      </c>
      <c r="J23" s="13">
        <f>IF(I23="Champion","🏆",IF(I23="Gold","🥇",IF(I23="Silver","🥈",IF(I23="Bronze","🥉","—"))))</f>
        <v/>
      </c>
    </row>
    <row r="24" ht="22" customHeight="1">
      <c r="A24" s="15" t="inlineStr">
        <is>
          <t>P020</t>
        </is>
      </c>
      <c r="B24" s="9" t="inlineStr"/>
      <c r="C24" s="9" t="inlineStr"/>
      <c r="D24" s="10" t="inlineStr">
        <is>
          <t>Pending</t>
        </is>
      </c>
      <c r="E24" s="10" t="inlineStr">
        <is>
          <t>Pending</t>
        </is>
      </c>
      <c r="F24" s="10" t="inlineStr">
        <is>
          <t>Pending</t>
        </is>
      </c>
      <c r="G24" s="10" t="n">
        <v>0</v>
      </c>
      <c r="H24" s="16">
        <f>IF(D24="Pass",$M$1,0)+IF(E24="Pass",$M$2,0)+IF(F24="Pass",$M$3,0)+G24</f>
        <v/>
      </c>
      <c r="I24" s="17">
        <f>IF(H24&gt;=150,"Champion",IF(H24&gt;=100,"Gold",IF(H24&gt;=50,"Silver",IF(H24&gt;0,"Bronze","—"))))</f>
        <v/>
      </c>
      <c r="J24" s="18">
        <f>IF(I24="Champion","🏆",IF(I24="Gold","🥇",IF(I24="Silver","🥈",IF(I24="Bronze","🥉","—"))))</f>
        <v/>
      </c>
    </row>
  </sheetData>
  <mergeCells count="4">
    <mergeCell ref="A1:J1"/>
    <mergeCell ref="L5:N5"/>
    <mergeCell ref="A3:J3"/>
    <mergeCell ref="A2:J2"/>
  </mergeCells>
  <conditionalFormatting sqref="I5:I24">
    <cfRule type="cellIs" priority="1" operator="equal" dxfId="0">
      <formula>"Champion"</formula>
    </cfRule>
    <cfRule type="cellIs" priority="2" operator="equal" dxfId="1">
      <formula>"Gold"</formula>
    </cfRule>
    <cfRule type="cellIs" priority="3" operator="equal" dxfId="2">
      <formula>"Silver"</formula>
    </cfRule>
    <cfRule type="cellIs" priority="4" operator="equal" dxfId="3">
      <formula>"Bronze"</formula>
    </cfRule>
  </conditionalFormatting>
  <conditionalFormatting sqref="D5:F24">
    <cfRule type="cellIs" priority="5" operator="equal" dxfId="4">
      <formula>"Pass"</formula>
    </cfRule>
    <cfRule type="cellIs" priority="6" operator="equal" dxfId="5">
      <formula>"Fail"</formula>
    </cfRule>
  </conditionalFormatting>
  <conditionalFormatting sqref="H5:H24">
    <cfRule type="dataBar" priority="7">
      <dataBar>
        <cfvo type="num" val="0"/>
        <cfvo type="num" val="150"/>
        <color rgb="00C8102E"/>
      </dataBar>
    </cfRule>
  </conditionalFormatting>
  <dataValidations count="1">
    <dataValidation sqref="D5:F24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4" customWidth="1" min="4" max="4"/>
    <col width="12" customWidth="1" min="5" max="5"/>
    <col width="48" customWidth="1" min="6" max="6"/>
    <col width="20" customWidth="1" min="7" max="7"/>
  </cols>
  <sheetData>
    <row r="1" ht="38" customHeight="1">
      <c r="A1" s="1" t="inlineStr">
        <is>
          <t>JUNE 2026 — MONTHLY TRAINING PLAN</t>
        </is>
      </c>
    </row>
    <row r="2" ht="20" customHeight="1">
      <c r="A2" s="2" t="inlineStr">
        <is>
          <t>Select status from dropdown. Progress updates automatically.</t>
        </is>
      </c>
    </row>
    <row r="3" ht="24" customHeight="1">
      <c r="A3" s="14" t="inlineStr">
        <is>
          <t>MONTHLY PROGRESS</t>
        </is>
      </c>
      <c r="E3" s="21">
        <f>COUNTIF(E6:E35,"✓ Done")&amp;" / 30 tasks ("&amp;TEXT(COUNTIF(E6:E35,"✓ Done")/30,"0%")&amp;" complete)"</f>
        <v/>
      </c>
    </row>
    <row r="4" ht="28" customHeight="1">
      <c r="A4" s="22">
        <f>COUNTIF(E6:E35,"✓ Done")/30</f>
        <v/>
      </c>
    </row>
    <row r="5" ht="24" customHeight="1">
      <c r="A5" s="7" t="inlineStr">
        <is>
          <t>Week</t>
        </is>
      </c>
      <c r="B5" s="7" t="inlineStr">
        <is>
          <t>Phase</t>
        </is>
      </c>
      <c r="C5" s="7" t="inlineStr">
        <is>
          <t>ID</t>
        </is>
      </c>
      <c r="D5" s="7" t="inlineStr">
        <is>
          <t>Day</t>
        </is>
      </c>
      <c r="E5" s="7" t="inlineStr">
        <is>
          <t>Status</t>
        </is>
      </c>
      <c r="F5" s="7" t="inlineStr">
        <is>
          <t>Task</t>
        </is>
      </c>
      <c r="G5" s="7" t="inlineStr">
        <is>
          <t>Notes</t>
        </is>
      </c>
    </row>
    <row r="6" ht="22" customHeight="1">
      <c r="A6" s="23" t="n">
        <v>1</v>
      </c>
      <c r="B6" s="24" t="inlineStr">
        <is>
          <t>Foundation (Jun 1–7)</t>
        </is>
      </c>
      <c r="C6" s="25" t="inlineStr">
        <is>
          <t>w1d1</t>
        </is>
      </c>
      <c r="D6" s="12" t="inlineStr">
        <is>
          <t>Mon Jun 1</t>
        </is>
      </c>
      <c r="E6" s="26" t="inlineStr">
        <is>
          <t>○ To Do</t>
        </is>
      </c>
      <c r="F6" s="27" t="inlineStr">
        <is>
          <t>Full-body strength – 3×10 squats, push-ups, rows</t>
        </is>
      </c>
      <c r="G6" s="27" t="inlineStr"/>
    </row>
    <row r="7" ht="22" customHeight="1">
      <c r="A7" s="28" t="inlineStr"/>
      <c r="B7" s="24" t="inlineStr"/>
      <c r="C7" s="25" t="inlineStr">
        <is>
          <t>w1d2</t>
        </is>
      </c>
      <c r="D7" s="12" t="inlineStr">
        <is>
          <t>Tue Jun 2</t>
        </is>
      </c>
      <c r="E7" s="26" t="inlineStr">
        <is>
          <t>○ To Do</t>
        </is>
      </c>
      <c r="F7" s="27" t="inlineStr">
        <is>
          <t>30-min steady-state cardio (run/cycle)</t>
        </is>
      </c>
      <c r="G7" s="27" t="inlineStr"/>
    </row>
    <row r="8" ht="22" customHeight="1">
      <c r="A8" s="28" t="inlineStr"/>
      <c r="B8" s="24" t="inlineStr"/>
      <c r="C8" s="25" t="inlineStr">
        <is>
          <t>w1d3</t>
        </is>
      </c>
      <c r="D8" s="12" t="inlineStr">
        <is>
          <t>Wed Jun 3</t>
        </is>
      </c>
      <c r="E8" s="26" t="inlineStr">
        <is>
          <t>○ To Do</t>
        </is>
      </c>
      <c r="F8" s="27" t="inlineStr">
        <is>
          <t>Core &amp; mobility – planks, hip flexor stretches</t>
        </is>
      </c>
      <c r="G8" s="27" t="inlineStr"/>
    </row>
    <row r="9" ht="22" customHeight="1">
      <c r="A9" s="28" t="inlineStr"/>
      <c r="B9" s="24" t="inlineStr"/>
      <c r="C9" s="25" t="inlineStr">
        <is>
          <t>w1d4</t>
        </is>
      </c>
      <c r="D9" s="12" t="inlineStr">
        <is>
          <t>Thu Jun 4</t>
        </is>
      </c>
      <c r="E9" s="26" t="inlineStr">
        <is>
          <t>○ To Do</t>
        </is>
      </c>
      <c r="F9" s="27" t="inlineStr">
        <is>
          <t>Upper body – bench press, overhead press, pull-ups</t>
        </is>
      </c>
      <c r="G9" s="27" t="inlineStr"/>
    </row>
    <row r="10" ht="22" customHeight="1">
      <c r="A10" s="28" t="inlineStr"/>
      <c r="B10" s="24" t="inlineStr"/>
      <c r="C10" s="25" t="inlineStr">
        <is>
          <t>w1d5</t>
        </is>
      </c>
      <c r="D10" s="12" t="inlineStr">
        <is>
          <t>Fri Jun 5</t>
        </is>
      </c>
      <c r="E10" s="26" t="inlineStr">
        <is>
          <t>○ To Do</t>
        </is>
      </c>
      <c r="F10" s="27" t="inlineStr">
        <is>
          <t>Lower body – deadlifts, lunges, calf raises</t>
        </is>
      </c>
      <c r="G10" s="27" t="inlineStr"/>
    </row>
    <row r="11" ht="22" customHeight="1">
      <c r="A11" s="28" t="inlineStr"/>
      <c r="B11" s="24" t="inlineStr"/>
      <c r="C11" s="25" t="inlineStr">
        <is>
          <t>w1d6</t>
        </is>
      </c>
      <c r="D11" s="12" t="inlineStr">
        <is>
          <t>Sat Jun 6</t>
        </is>
      </c>
      <c r="E11" s="26" t="inlineStr">
        <is>
          <t>○ To Do</t>
        </is>
      </c>
      <c r="F11" s="27" t="inlineStr">
        <is>
          <t>Active recovery – 45-min walk or yoga</t>
        </is>
      </c>
      <c r="G11" s="27" t="inlineStr"/>
    </row>
    <row r="12" ht="22" customHeight="1">
      <c r="A12" s="28" t="inlineStr"/>
      <c r="B12" s="24" t="inlineStr"/>
      <c r="C12" s="25" t="inlineStr">
        <is>
          <t>w1d7</t>
        </is>
      </c>
      <c r="D12" s="12" t="inlineStr">
        <is>
          <t>Sun Jun 7</t>
        </is>
      </c>
      <c r="E12" s="26" t="inlineStr">
        <is>
          <t>○ To Do</t>
        </is>
      </c>
      <c r="F12" s="27" t="inlineStr">
        <is>
          <t>Rest day</t>
        </is>
      </c>
      <c r="G12" s="27" t="inlineStr"/>
    </row>
    <row r="13" ht="22" customHeight="1">
      <c r="A13" s="29" t="n">
        <v>2</v>
      </c>
      <c r="B13" s="30" t="inlineStr">
        <is>
          <t>Building (Jun 8–14)</t>
        </is>
      </c>
      <c r="C13" s="31" t="inlineStr">
        <is>
          <t>w2d1</t>
        </is>
      </c>
      <c r="D13" s="17" t="inlineStr">
        <is>
          <t>Mon Jun 8</t>
        </is>
      </c>
      <c r="E13" s="26" t="inlineStr">
        <is>
          <t>○ To Do</t>
        </is>
      </c>
      <c r="F13" s="32" t="inlineStr">
        <is>
          <t>Full-body strength – increase weight 5%</t>
        </is>
      </c>
      <c r="G13" s="27" t="inlineStr"/>
    </row>
    <row r="14" ht="22" customHeight="1">
      <c r="A14" s="33" t="inlineStr"/>
      <c r="B14" s="30" t="inlineStr"/>
      <c r="C14" s="31" t="inlineStr">
        <is>
          <t>w2d2</t>
        </is>
      </c>
      <c r="D14" s="17" t="inlineStr">
        <is>
          <t>Tue Jun 9</t>
        </is>
      </c>
      <c r="E14" s="26" t="inlineStr">
        <is>
          <t>○ To Do</t>
        </is>
      </c>
      <c r="F14" s="32" t="inlineStr">
        <is>
          <t>Interval cardio – 6×3-min hard / 2-min easy</t>
        </is>
      </c>
      <c r="G14" s="27" t="inlineStr"/>
    </row>
    <row r="15" ht="22" customHeight="1">
      <c r="A15" s="33" t="inlineStr"/>
      <c r="B15" s="30" t="inlineStr"/>
      <c r="C15" s="31" t="inlineStr">
        <is>
          <t>w2d3</t>
        </is>
      </c>
      <c r="D15" s="17" t="inlineStr">
        <is>
          <t>Wed Jun 10</t>
        </is>
      </c>
      <c r="E15" s="26" t="inlineStr">
        <is>
          <t>○ To Do</t>
        </is>
      </c>
      <c r="F15" s="32" t="inlineStr">
        <is>
          <t>Core circuit – 4 rounds: hollow hold, dead bug, RKC</t>
        </is>
      </c>
      <c r="G15" s="27" t="inlineStr"/>
    </row>
    <row r="16" ht="22" customHeight="1">
      <c r="A16" s="33" t="inlineStr"/>
      <c r="B16" s="30" t="inlineStr"/>
      <c r="C16" s="31" t="inlineStr">
        <is>
          <t>w2d4</t>
        </is>
      </c>
      <c r="D16" s="17" t="inlineStr">
        <is>
          <t>Thu Jun 11</t>
        </is>
      </c>
      <c r="E16" s="26" t="inlineStr">
        <is>
          <t>○ To Do</t>
        </is>
      </c>
      <c r="F16" s="32" t="inlineStr">
        <is>
          <t>Upper body – add 1 set per exercise</t>
        </is>
      </c>
      <c r="G16" s="27" t="inlineStr"/>
    </row>
    <row r="17" ht="22" customHeight="1">
      <c r="A17" s="33" t="inlineStr"/>
      <c r="B17" s="30" t="inlineStr"/>
      <c r="C17" s="31" t="inlineStr">
        <is>
          <t>w2d5</t>
        </is>
      </c>
      <c r="D17" s="17" t="inlineStr">
        <is>
          <t>Fri Jun 12</t>
        </is>
      </c>
      <c r="E17" s="26" t="inlineStr">
        <is>
          <t>○ To Do</t>
        </is>
      </c>
      <c r="F17" s="32" t="inlineStr">
        <is>
          <t>Lower body – add 1 set per exercise</t>
        </is>
      </c>
      <c r="G17" s="27" t="inlineStr"/>
    </row>
    <row r="18" ht="22" customHeight="1">
      <c r="A18" s="33" t="inlineStr"/>
      <c r="B18" s="30" t="inlineStr"/>
      <c r="C18" s="31" t="inlineStr">
        <is>
          <t>w2d6</t>
        </is>
      </c>
      <c r="D18" s="17" t="inlineStr">
        <is>
          <t>Sat Jun 13</t>
        </is>
      </c>
      <c r="E18" s="26" t="inlineStr">
        <is>
          <t>○ To Do</t>
        </is>
      </c>
      <c r="F18" s="32" t="inlineStr">
        <is>
          <t>Hike or long bike ride (60 min)</t>
        </is>
      </c>
      <c r="G18" s="27" t="inlineStr"/>
    </row>
    <row r="19" ht="22" customHeight="1">
      <c r="A19" s="33" t="inlineStr"/>
      <c r="B19" s="30" t="inlineStr"/>
      <c r="C19" s="31" t="inlineStr">
        <is>
          <t>w2d7</t>
        </is>
      </c>
      <c r="D19" s="17" t="inlineStr">
        <is>
          <t>Sun Jun 14</t>
        </is>
      </c>
      <c r="E19" s="26" t="inlineStr">
        <is>
          <t>○ To Do</t>
        </is>
      </c>
      <c r="F19" s="32" t="inlineStr">
        <is>
          <t>Rest day</t>
        </is>
      </c>
      <c r="G19" s="27" t="inlineStr"/>
    </row>
    <row r="20" ht="22" customHeight="1">
      <c r="A20" s="23" t="n">
        <v>3</v>
      </c>
      <c r="B20" s="24" t="inlineStr">
        <is>
          <t>Intensity (Jun 15–21)</t>
        </is>
      </c>
      <c r="C20" s="25" t="inlineStr">
        <is>
          <t>w3d1</t>
        </is>
      </c>
      <c r="D20" s="12" t="inlineStr">
        <is>
          <t>Mon Jun 15</t>
        </is>
      </c>
      <c r="E20" s="26" t="inlineStr">
        <is>
          <t>○ To Do</t>
        </is>
      </c>
      <c r="F20" s="27" t="inlineStr">
        <is>
          <t>Full-body HIIT – 20 min Tabata</t>
        </is>
      </c>
      <c r="G20" s="27" t="inlineStr"/>
    </row>
    <row r="21" ht="22" customHeight="1">
      <c r="A21" s="28" t="inlineStr"/>
      <c r="B21" s="24" t="inlineStr"/>
      <c r="C21" s="25" t="inlineStr">
        <is>
          <t>w3d2</t>
        </is>
      </c>
      <c r="D21" s="12" t="inlineStr">
        <is>
          <t>Tue Jun 16</t>
        </is>
      </c>
      <c r="E21" s="26" t="inlineStr">
        <is>
          <t>○ To Do</t>
        </is>
      </c>
      <c r="F21" s="27" t="inlineStr">
        <is>
          <t>Tempo run – 5 km at comfortably hard pace</t>
        </is>
      </c>
      <c r="G21" s="27" t="inlineStr"/>
    </row>
    <row r="22" ht="22" customHeight="1">
      <c r="A22" s="28" t="inlineStr"/>
      <c r="B22" s="24" t="inlineStr"/>
      <c r="C22" s="25" t="inlineStr">
        <is>
          <t>w3d3</t>
        </is>
      </c>
      <c r="D22" s="12" t="inlineStr">
        <is>
          <t>Wed Jun 17</t>
        </is>
      </c>
      <c r="E22" s="26" t="inlineStr">
        <is>
          <t>○ To Do</t>
        </is>
      </c>
      <c r="F22" s="27" t="inlineStr">
        <is>
          <t>Yoga / deep stretch (45 min)</t>
        </is>
      </c>
      <c r="G22" s="27" t="inlineStr"/>
    </row>
    <row r="23" ht="22" customHeight="1">
      <c r="A23" s="28" t="inlineStr"/>
      <c r="B23" s="24" t="inlineStr"/>
      <c r="C23" s="25" t="inlineStr">
        <is>
          <t>w3d4</t>
        </is>
      </c>
      <c r="D23" s="12" t="inlineStr">
        <is>
          <t>Thu Jun 18</t>
        </is>
      </c>
      <c r="E23" s="26" t="inlineStr">
        <is>
          <t>○ To Do</t>
        </is>
      </c>
      <c r="F23" s="27" t="inlineStr">
        <is>
          <t>Push day – chest, shoulders, triceps 4×8</t>
        </is>
      </c>
      <c r="G23" s="27" t="inlineStr"/>
    </row>
    <row r="24" ht="22" customHeight="1">
      <c r="A24" s="28" t="inlineStr"/>
      <c r="B24" s="24" t="inlineStr"/>
      <c r="C24" s="25" t="inlineStr">
        <is>
          <t>w3d5</t>
        </is>
      </c>
      <c r="D24" s="12" t="inlineStr">
        <is>
          <t>Fri Jun 19</t>
        </is>
      </c>
      <c r="E24" s="26" t="inlineStr">
        <is>
          <t>○ To Do</t>
        </is>
      </c>
      <c r="F24" s="27" t="inlineStr">
        <is>
          <t>Pull day – back, biceps, rear delts 4×8</t>
        </is>
      </c>
      <c r="G24" s="27" t="inlineStr"/>
    </row>
    <row r="25" ht="22" customHeight="1">
      <c r="A25" s="28" t="inlineStr"/>
      <c r="B25" s="24" t="inlineStr"/>
      <c r="C25" s="25" t="inlineStr">
        <is>
          <t>w3d6</t>
        </is>
      </c>
      <c r="D25" s="12" t="inlineStr">
        <is>
          <t>Sat Jun 20</t>
        </is>
      </c>
      <c r="E25" s="26" t="inlineStr">
        <is>
          <t>○ To Do</t>
        </is>
      </c>
      <c r="F25" s="27" t="inlineStr">
        <is>
          <t>Leg day – heavy squats &amp; RDLs 4×6</t>
        </is>
      </c>
      <c r="G25" s="27" t="inlineStr"/>
    </row>
    <row r="26" ht="22" customHeight="1">
      <c r="A26" s="28" t="inlineStr"/>
      <c r="B26" s="24" t="inlineStr"/>
      <c r="C26" s="25" t="inlineStr">
        <is>
          <t>w3d7</t>
        </is>
      </c>
      <c r="D26" s="12" t="inlineStr">
        <is>
          <t>Sun Jun 21</t>
        </is>
      </c>
      <c r="E26" s="26" t="inlineStr">
        <is>
          <t>○ To Do</t>
        </is>
      </c>
      <c r="F26" s="27" t="inlineStr">
        <is>
          <t>Rest day</t>
        </is>
      </c>
      <c r="G26" s="27" t="inlineStr"/>
    </row>
    <row r="27" ht="22" customHeight="1">
      <c r="A27" s="29" t="n">
        <v>4</v>
      </c>
      <c r="B27" s="30" t="inlineStr">
        <is>
          <t>Peak (Jun 22–28)</t>
        </is>
      </c>
      <c r="C27" s="31" t="inlineStr">
        <is>
          <t>w4d1</t>
        </is>
      </c>
      <c r="D27" s="17" t="inlineStr">
        <is>
          <t>Mon Jun 22</t>
        </is>
      </c>
      <c r="E27" s="26" t="inlineStr">
        <is>
          <t>○ To Do</t>
        </is>
      </c>
      <c r="F27" s="32" t="inlineStr">
        <is>
          <t>Max-effort full-body circuit – 5 rounds</t>
        </is>
      </c>
      <c r="G27" s="27" t="inlineStr"/>
    </row>
    <row r="28" ht="22" customHeight="1">
      <c r="A28" s="33" t="inlineStr"/>
      <c r="B28" s="30" t="inlineStr"/>
      <c r="C28" s="31" t="inlineStr">
        <is>
          <t>w4d2</t>
        </is>
      </c>
      <c r="D28" s="17" t="inlineStr">
        <is>
          <t>Tue Jun 23</t>
        </is>
      </c>
      <c r="E28" s="26" t="inlineStr">
        <is>
          <t>○ To Do</t>
        </is>
      </c>
      <c r="F28" s="32" t="inlineStr">
        <is>
          <t>Long run – 8 km at easy pace</t>
        </is>
      </c>
      <c r="G28" s="27" t="inlineStr"/>
    </row>
    <row r="29" ht="22" customHeight="1">
      <c r="A29" s="33" t="inlineStr"/>
      <c r="B29" s="30" t="inlineStr"/>
      <c r="C29" s="31" t="inlineStr">
        <is>
          <t>w4d3</t>
        </is>
      </c>
      <c r="D29" s="17" t="inlineStr">
        <is>
          <t>Wed Jun 24</t>
        </is>
      </c>
      <c r="E29" s="26" t="inlineStr">
        <is>
          <t>○ To Do</t>
        </is>
      </c>
      <c r="F29" s="32" t="inlineStr">
        <is>
          <t>Core &amp; stability – single-leg work, pallof press</t>
        </is>
      </c>
      <c r="G29" s="27" t="inlineStr"/>
    </row>
    <row r="30" ht="22" customHeight="1">
      <c r="A30" s="33" t="inlineStr"/>
      <c r="B30" s="30" t="inlineStr"/>
      <c r="C30" s="31" t="inlineStr">
        <is>
          <t>w4d4</t>
        </is>
      </c>
      <c r="D30" s="17" t="inlineStr">
        <is>
          <t>Thu Jun 25</t>
        </is>
      </c>
      <c r="E30" s="26" t="inlineStr">
        <is>
          <t>○ To Do</t>
        </is>
      </c>
      <c r="F30" s="32" t="inlineStr">
        <is>
          <t>Upper body strength test – max reps benchmark</t>
        </is>
      </c>
      <c r="G30" s="27" t="inlineStr"/>
    </row>
    <row r="31" ht="22" customHeight="1">
      <c r="A31" s="33" t="inlineStr"/>
      <c r="B31" s="30" t="inlineStr"/>
      <c r="C31" s="31" t="inlineStr">
        <is>
          <t>w4d5</t>
        </is>
      </c>
      <c r="D31" s="17" t="inlineStr">
        <is>
          <t>Fri Jun 26</t>
        </is>
      </c>
      <c r="E31" s="26" t="inlineStr">
        <is>
          <t>○ To Do</t>
        </is>
      </c>
      <c r="F31" s="32" t="inlineStr">
        <is>
          <t>Lower body strength test – 1RM squat &amp; deadlift</t>
        </is>
      </c>
      <c r="G31" s="27" t="inlineStr"/>
    </row>
    <row r="32" ht="22" customHeight="1">
      <c r="A32" s="33" t="inlineStr"/>
      <c r="B32" s="30" t="inlineStr"/>
      <c r="C32" s="31" t="inlineStr">
        <is>
          <t>w4d6</t>
        </is>
      </c>
      <c r="D32" s="17" t="inlineStr">
        <is>
          <t>Sat Jun 27</t>
        </is>
      </c>
      <c r="E32" s="26" t="inlineStr">
        <is>
          <t>○ To Do</t>
        </is>
      </c>
      <c r="F32" s="32" t="inlineStr">
        <is>
          <t>Active recovery swim or cycle (45 min)</t>
        </is>
      </c>
      <c r="G32" s="27" t="inlineStr"/>
    </row>
    <row r="33" ht="22" customHeight="1">
      <c r="A33" s="33" t="inlineStr"/>
      <c r="B33" s="30" t="inlineStr"/>
      <c r="C33" s="31" t="inlineStr">
        <is>
          <t>w4d7</t>
        </is>
      </c>
      <c r="D33" s="17" t="inlineStr">
        <is>
          <t>Sun Jun 28</t>
        </is>
      </c>
      <c r="E33" s="26" t="inlineStr">
        <is>
          <t>○ To Do</t>
        </is>
      </c>
      <c r="F33" s="32" t="inlineStr">
        <is>
          <t>Rest day</t>
        </is>
      </c>
      <c r="G33" s="27" t="inlineStr"/>
    </row>
    <row r="34" ht="22" customHeight="1">
      <c r="A34" s="23" t="n">
        <v>5</v>
      </c>
      <c r="B34" s="24" t="inlineStr">
        <is>
          <t>Recovery (Jun 29–30)</t>
        </is>
      </c>
      <c r="C34" s="25" t="inlineStr">
        <is>
          <t>w5d1</t>
        </is>
      </c>
      <c r="D34" s="12" t="inlineStr">
        <is>
          <t>Mon Jun 29</t>
        </is>
      </c>
      <c r="E34" s="26" t="inlineStr">
        <is>
          <t>○ To Do</t>
        </is>
      </c>
      <c r="F34" s="27" t="inlineStr">
        <is>
          <t>Light full-body movement – 50% intensity</t>
        </is>
      </c>
      <c r="G34" s="27" t="inlineStr"/>
    </row>
    <row r="35" ht="22" customHeight="1">
      <c r="A35" s="28" t="inlineStr"/>
      <c r="B35" s="24" t="inlineStr"/>
      <c r="C35" s="25" t="inlineStr">
        <is>
          <t>w5d2</t>
        </is>
      </c>
      <c r="D35" s="12" t="inlineStr">
        <is>
          <t>Tue Jun 30</t>
        </is>
      </c>
      <c r="E35" s="26" t="inlineStr">
        <is>
          <t>○ To Do</t>
        </is>
      </c>
      <c r="F35" s="27" t="inlineStr">
        <is>
          <t>End-of-month review + mobility session</t>
        </is>
      </c>
      <c r="G35" s="27" t="inlineStr"/>
    </row>
  </sheetData>
  <mergeCells count="5">
    <mergeCell ref="A1:G1"/>
    <mergeCell ref="A3:D3"/>
    <mergeCell ref="A4:G4"/>
    <mergeCell ref="A2:G2"/>
    <mergeCell ref="E3:G3"/>
  </mergeCells>
  <conditionalFormatting sqref="A4">
    <cfRule type="dataBar" priority="1">
      <dataBar>
        <cfvo type="num" val="0"/>
        <cfvo type="num" val="1"/>
        <color rgb="001A7A3C"/>
      </dataBar>
    </cfRule>
  </conditionalFormatting>
  <conditionalFormatting sqref="A6:G35">
    <cfRule type="expression" priority="2" dxfId="4">
      <formula>$E6="✓ Done"</formula>
    </cfRule>
    <cfRule type="expression" priority="3" dxfId="6">
      <formula>$E6="— Skip"</formula>
    </cfRule>
  </conditionalFormatting>
  <dataValidations count="1">
    <dataValidation sqref="E6:E35" showDropDown="0" showInputMessage="0" showErrorMessage="0" allowBlank="0" type="list">
      <formula1>"✓ Done,○ To Do,— 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3" customWidth="1" min="4" max="4"/>
    <col width="13" customWidth="1" min="5" max="5"/>
    <col width="12" customWidth="1" min="6" max="6"/>
    <col width="10" customWidth="1" min="7" max="7"/>
    <col width="9" customWidth="1" min="8" max="8"/>
    <col width="10" customWidth="1" min="9" max="9"/>
    <col width="12" customWidth="1" min="10" max="10"/>
    <col width="4" customWidth="1" min="11" max="11"/>
    <col width="18" customWidth="1" min="12" max="12"/>
    <col width="10" customWidth="1" min="13" max="13"/>
  </cols>
  <sheetData>
    <row r="1" ht="38" customHeight="1">
      <c r="A1" s="1" t="inlineStr">
        <is>
          <t>COMPETITION SCORING SHEET</t>
        </is>
      </c>
      <c r="L1" t="inlineStr">
        <is>
          <t>Knowledge weight</t>
        </is>
      </c>
      <c r="M1" t="n">
        <v>0.35</v>
      </c>
    </row>
    <row r="2" ht="20" customHeight="1">
      <c r="A2" s="2" t="inlineStr">
        <is>
          <t>Rubric: Knowledge 35%  ·  Creativity 25%  ·  Selling 40%  |  Score 1–4 per criterion</t>
        </is>
      </c>
      <c r="L2" t="inlineStr">
        <is>
          <t>Creativity weight</t>
        </is>
      </c>
      <c r="M2" t="n">
        <v>0.25</v>
      </c>
    </row>
    <row r="3" ht="22" customHeight="1">
      <c r="A3" s="6" t="inlineStr">
        <is>
          <t>📝  Enter competition name in B4. Score each promoter 1–4 in columns D, E, F. Weighted score, rank and award are calculated automatically.</t>
        </is>
      </c>
      <c r="L3" t="inlineStr">
        <is>
          <t>Selling weight</t>
        </is>
      </c>
      <c r="M3" t="n">
        <v>0.4</v>
      </c>
    </row>
    <row r="4" ht="28" customHeight="1">
      <c r="A4" s="34" t="inlineStr">
        <is>
          <t>Competition Name:</t>
        </is>
      </c>
      <c r="D4" s="35" t="inlineStr">
        <is>
          <t>C7L Mastery Excellence — Phase 1</t>
        </is>
      </c>
    </row>
    <row r="5" ht="40" customHeight="1">
      <c r="A5" s="7" t="inlineStr">
        <is>
          <t>Rank</t>
        </is>
      </c>
      <c r="B5" s="7" t="inlineStr">
        <is>
          <t>Promoter Name</t>
        </is>
      </c>
      <c r="C5" s="7" t="inlineStr">
        <is>
          <t>Store</t>
        </is>
      </c>
      <c r="D5" s="7" t="inlineStr">
        <is>
          <t>Knowledge
/4 (35%)</t>
        </is>
      </c>
      <c r="E5" s="7" t="inlineStr">
        <is>
          <t>Creativity
/4 (25%)</t>
        </is>
      </c>
      <c r="F5" s="7" t="inlineStr">
        <is>
          <t>Selling
/4 (40%)</t>
        </is>
      </c>
      <c r="G5" s="7" t="inlineStr">
        <is>
          <t>Weighted
Score</t>
        </is>
      </c>
      <c r="H5" s="7" t="inlineStr">
        <is>
          <t>Score
%</t>
        </is>
      </c>
      <c r="I5" s="7" t="inlineStr">
        <is>
          <t>Result</t>
        </is>
      </c>
      <c r="J5" s="7" t="inlineStr">
        <is>
          <t>Award
(SAR)</t>
        </is>
      </c>
    </row>
    <row r="6" ht="22" customHeight="1">
      <c r="A6" s="8">
        <f>IFERROR(RANK(G6,G6:G25,0),"")</f>
        <v/>
      </c>
      <c r="B6" s="9" t="inlineStr"/>
      <c r="C6" s="9" t="inlineStr"/>
      <c r="D6" s="10" t="inlineStr"/>
      <c r="E6" s="10" t="inlineStr"/>
      <c r="F6" s="10" t="inlineStr"/>
      <c r="G6" s="36">
        <f>IFERROR(D6*$M$1+E6*$M$2+F6*$M$3,"")</f>
        <v/>
      </c>
      <c r="H6" s="37">
        <f>IFERROR(G6/4,"")</f>
        <v/>
      </c>
      <c r="I6" s="12">
        <f>IFERROR(IF(RANK(G6,G6:G25,0)=1,"🥇 1st",IF(RANK(G6,G6:G25,0)=2,"🥈 2nd",IF(RANK(G6,G6:G25,0)=3,"🥉 3rd",""))),"—")</f>
        <v/>
      </c>
      <c r="J6" s="38">
        <f>IFERROR(IF(RANK(G6,G6:G25,0)=1,1000,IF(RANK(G6,G6:G25,0)=2,800,IF(RANK(G6,G6:G25,0)=3,600,""))),"—")</f>
        <v/>
      </c>
    </row>
    <row r="7" ht="22" customHeight="1">
      <c r="A7" s="15">
        <f>IFERROR(RANK(G7,G6:G25,0),"")</f>
        <v/>
      </c>
      <c r="B7" s="9" t="inlineStr"/>
      <c r="C7" s="9" t="inlineStr"/>
      <c r="D7" s="10" t="inlineStr"/>
      <c r="E7" s="10" t="inlineStr"/>
      <c r="F7" s="10" t="inlineStr"/>
      <c r="G7" s="39">
        <f>IFERROR(D7*$M$1+E7*$M$2+F7*$M$3,"")</f>
        <v/>
      </c>
      <c r="H7" s="40">
        <f>IFERROR(G7/4,"")</f>
        <v/>
      </c>
      <c r="I7" s="17">
        <f>IFERROR(IF(RANK(G7,G6:G25,0)=1,"🥇 1st",IF(RANK(G7,G6:G25,0)=2,"🥈 2nd",IF(RANK(G7,G6:G25,0)=3,"🥉 3rd",""))),"—")</f>
        <v/>
      </c>
      <c r="J7" s="41">
        <f>IFERROR(IF(RANK(G7,G6:G25,0)=1,1000,IF(RANK(G7,G6:G25,0)=2,800,IF(RANK(G7,G6:G25,0)=3,600,""))),"—")</f>
        <v/>
      </c>
    </row>
    <row r="8" ht="22" customHeight="1">
      <c r="A8" s="8">
        <f>IFERROR(RANK(G8,G6:G25,0),"")</f>
        <v/>
      </c>
      <c r="B8" s="9" t="inlineStr"/>
      <c r="C8" s="9" t="inlineStr"/>
      <c r="D8" s="10" t="inlineStr"/>
      <c r="E8" s="10" t="inlineStr"/>
      <c r="F8" s="10" t="inlineStr"/>
      <c r="G8" s="36">
        <f>IFERROR(D8*$M$1+E8*$M$2+F8*$M$3,"")</f>
        <v/>
      </c>
      <c r="H8" s="37">
        <f>IFERROR(G8/4,"")</f>
        <v/>
      </c>
      <c r="I8" s="12">
        <f>IFERROR(IF(RANK(G8,G6:G25,0)=1,"🥇 1st",IF(RANK(G8,G6:G25,0)=2,"🥈 2nd",IF(RANK(G8,G6:G25,0)=3,"🥉 3rd",""))),"—")</f>
        <v/>
      </c>
      <c r="J8" s="38">
        <f>IFERROR(IF(RANK(G8,G6:G25,0)=1,1000,IF(RANK(G8,G6:G25,0)=2,800,IF(RANK(G8,G6:G25,0)=3,600,""))),"—")</f>
        <v/>
      </c>
    </row>
    <row r="9" ht="22" customHeight="1">
      <c r="A9" s="15">
        <f>IFERROR(RANK(G9,G6:G25,0),"")</f>
        <v/>
      </c>
      <c r="B9" s="9" t="inlineStr"/>
      <c r="C9" s="9" t="inlineStr"/>
      <c r="D9" s="10" t="inlineStr"/>
      <c r="E9" s="10" t="inlineStr"/>
      <c r="F9" s="10" t="inlineStr"/>
      <c r="G9" s="39">
        <f>IFERROR(D9*$M$1+E9*$M$2+F9*$M$3,"")</f>
        <v/>
      </c>
      <c r="H9" s="40">
        <f>IFERROR(G9/4,"")</f>
        <v/>
      </c>
      <c r="I9" s="17">
        <f>IFERROR(IF(RANK(G9,G6:G25,0)=1,"🥇 1st",IF(RANK(G9,G6:G25,0)=2,"🥈 2nd",IF(RANK(G9,G6:G25,0)=3,"🥉 3rd",""))),"—")</f>
        <v/>
      </c>
      <c r="J9" s="41">
        <f>IFERROR(IF(RANK(G9,G6:G25,0)=1,1000,IF(RANK(G9,G6:G25,0)=2,800,IF(RANK(G9,G6:G25,0)=3,600,""))),"—")</f>
        <v/>
      </c>
    </row>
    <row r="10" ht="22" customHeight="1">
      <c r="A10" s="8">
        <f>IFERROR(RANK(G10,G6:G25,0),"")</f>
        <v/>
      </c>
      <c r="B10" s="9" t="inlineStr"/>
      <c r="C10" s="9" t="inlineStr"/>
      <c r="D10" s="10" t="inlineStr"/>
      <c r="E10" s="10" t="inlineStr"/>
      <c r="F10" s="10" t="inlineStr"/>
      <c r="G10" s="36">
        <f>IFERROR(D10*$M$1+E10*$M$2+F10*$M$3,"")</f>
        <v/>
      </c>
      <c r="H10" s="37">
        <f>IFERROR(G10/4,"")</f>
        <v/>
      </c>
      <c r="I10" s="12">
        <f>IFERROR(IF(RANK(G10,G6:G25,0)=1,"🥇 1st",IF(RANK(G10,G6:G25,0)=2,"🥈 2nd",IF(RANK(G10,G6:G25,0)=3,"🥉 3rd",""))),"—")</f>
        <v/>
      </c>
      <c r="J10" s="38">
        <f>IFERROR(IF(RANK(G10,G6:G25,0)=1,1000,IF(RANK(G10,G6:G25,0)=2,800,IF(RANK(G10,G6:G25,0)=3,600,""))),"—")</f>
        <v/>
      </c>
    </row>
    <row r="11" ht="22" customHeight="1">
      <c r="A11" s="15">
        <f>IFERROR(RANK(G11,G6:G25,0),"")</f>
        <v/>
      </c>
      <c r="B11" s="9" t="inlineStr"/>
      <c r="C11" s="9" t="inlineStr"/>
      <c r="D11" s="10" t="inlineStr"/>
      <c r="E11" s="10" t="inlineStr"/>
      <c r="F11" s="10" t="inlineStr"/>
      <c r="G11" s="39">
        <f>IFERROR(D11*$M$1+E11*$M$2+F11*$M$3,"")</f>
        <v/>
      </c>
      <c r="H11" s="40">
        <f>IFERROR(G11/4,"")</f>
        <v/>
      </c>
      <c r="I11" s="17">
        <f>IFERROR(IF(RANK(G11,G6:G25,0)=1,"🥇 1st",IF(RANK(G11,G6:G25,0)=2,"🥈 2nd",IF(RANK(G11,G6:G25,0)=3,"🥉 3rd",""))),"—")</f>
        <v/>
      </c>
      <c r="J11" s="41">
        <f>IFERROR(IF(RANK(G11,G6:G25,0)=1,1000,IF(RANK(G11,G6:G25,0)=2,800,IF(RANK(G11,G6:G25,0)=3,600,""))),"—")</f>
        <v/>
      </c>
    </row>
    <row r="12" ht="22" customHeight="1">
      <c r="A12" s="8">
        <f>IFERROR(RANK(G12,G6:G25,0),"")</f>
        <v/>
      </c>
      <c r="B12" s="9" t="inlineStr"/>
      <c r="C12" s="9" t="inlineStr"/>
      <c r="D12" s="10" t="inlineStr"/>
      <c r="E12" s="10" t="inlineStr"/>
      <c r="F12" s="10" t="inlineStr"/>
      <c r="G12" s="36">
        <f>IFERROR(D12*$M$1+E12*$M$2+F12*$M$3,"")</f>
        <v/>
      </c>
      <c r="H12" s="37">
        <f>IFERROR(G12/4,"")</f>
        <v/>
      </c>
      <c r="I12" s="12">
        <f>IFERROR(IF(RANK(G12,G6:G25,0)=1,"🥇 1st",IF(RANK(G12,G6:G25,0)=2,"🥈 2nd",IF(RANK(G12,G6:G25,0)=3,"🥉 3rd",""))),"—")</f>
        <v/>
      </c>
      <c r="J12" s="38">
        <f>IFERROR(IF(RANK(G12,G6:G25,0)=1,1000,IF(RANK(G12,G6:G25,0)=2,800,IF(RANK(G12,G6:G25,0)=3,600,""))),"—")</f>
        <v/>
      </c>
    </row>
    <row r="13" ht="22" customHeight="1">
      <c r="A13" s="15">
        <f>IFERROR(RANK(G13,G6:G25,0),"")</f>
        <v/>
      </c>
      <c r="B13" s="9" t="inlineStr"/>
      <c r="C13" s="9" t="inlineStr"/>
      <c r="D13" s="10" t="inlineStr"/>
      <c r="E13" s="10" t="inlineStr"/>
      <c r="F13" s="10" t="inlineStr"/>
      <c r="G13" s="39">
        <f>IFERROR(D13*$M$1+E13*$M$2+F13*$M$3,"")</f>
        <v/>
      </c>
      <c r="H13" s="40">
        <f>IFERROR(G13/4,"")</f>
        <v/>
      </c>
      <c r="I13" s="17">
        <f>IFERROR(IF(RANK(G13,G6:G25,0)=1,"🥇 1st",IF(RANK(G13,G6:G25,0)=2,"🥈 2nd",IF(RANK(G13,G6:G25,0)=3,"🥉 3rd",""))),"—")</f>
        <v/>
      </c>
      <c r="J13" s="41">
        <f>IFERROR(IF(RANK(G13,G6:G25,0)=1,1000,IF(RANK(G13,G6:G25,0)=2,800,IF(RANK(G13,G6:G25,0)=3,600,""))),"—")</f>
        <v/>
      </c>
    </row>
    <row r="14" ht="22" customHeight="1">
      <c r="A14" s="8">
        <f>IFERROR(RANK(G14,G6:G25,0),"")</f>
        <v/>
      </c>
      <c r="B14" s="9" t="inlineStr"/>
      <c r="C14" s="9" t="inlineStr"/>
      <c r="D14" s="10" t="inlineStr"/>
      <c r="E14" s="10" t="inlineStr"/>
      <c r="F14" s="10" t="inlineStr"/>
      <c r="G14" s="36">
        <f>IFERROR(D14*$M$1+E14*$M$2+F14*$M$3,"")</f>
        <v/>
      </c>
      <c r="H14" s="37">
        <f>IFERROR(G14/4,"")</f>
        <v/>
      </c>
      <c r="I14" s="12">
        <f>IFERROR(IF(RANK(G14,G6:G25,0)=1,"🥇 1st",IF(RANK(G14,G6:G25,0)=2,"🥈 2nd",IF(RANK(G14,G6:G25,0)=3,"🥉 3rd",""))),"—")</f>
        <v/>
      </c>
      <c r="J14" s="38">
        <f>IFERROR(IF(RANK(G14,G6:G25,0)=1,1000,IF(RANK(G14,G6:G25,0)=2,800,IF(RANK(G14,G6:G25,0)=3,600,""))),"—")</f>
        <v/>
      </c>
    </row>
    <row r="15" ht="22" customHeight="1">
      <c r="A15" s="15">
        <f>IFERROR(RANK(G15,G6:G25,0),"")</f>
        <v/>
      </c>
      <c r="B15" s="9" t="inlineStr"/>
      <c r="C15" s="9" t="inlineStr"/>
      <c r="D15" s="10" t="inlineStr"/>
      <c r="E15" s="10" t="inlineStr"/>
      <c r="F15" s="10" t="inlineStr"/>
      <c r="G15" s="39">
        <f>IFERROR(D15*$M$1+E15*$M$2+F15*$M$3,"")</f>
        <v/>
      </c>
      <c r="H15" s="40">
        <f>IFERROR(G15/4,"")</f>
        <v/>
      </c>
      <c r="I15" s="17">
        <f>IFERROR(IF(RANK(G15,G6:G25,0)=1,"🥇 1st",IF(RANK(G15,G6:G25,0)=2,"🥈 2nd",IF(RANK(G15,G6:G25,0)=3,"🥉 3rd",""))),"—")</f>
        <v/>
      </c>
      <c r="J15" s="41">
        <f>IFERROR(IF(RANK(G15,G6:G25,0)=1,1000,IF(RANK(G15,G6:G25,0)=2,800,IF(RANK(G15,G6:G25,0)=3,600,""))),"—")</f>
        <v/>
      </c>
    </row>
    <row r="16" ht="22" customHeight="1">
      <c r="A16" s="8">
        <f>IFERROR(RANK(G16,G6:G25,0),"")</f>
        <v/>
      </c>
      <c r="B16" s="9" t="inlineStr"/>
      <c r="C16" s="9" t="inlineStr"/>
      <c r="D16" s="10" t="inlineStr"/>
      <c r="E16" s="10" t="inlineStr"/>
      <c r="F16" s="10" t="inlineStr"/>
      <c r="G16" s="36">
        <f>IFERROR(D16*$M$1+E16*$M$2+F16*$M$3,"")</f>
        <v/>
      </c>
      <c r="H16" s="37">
        <f>IFERROR(G16/4,"")</f>
        <v/>
      </c>
      <c r="I16" s="12">
        <f>IFERROR(IF(RANK(G16,G6:G25,0)=1,"🥇 1st",IF(RANK(G16,G6:G25,0)=2,"🥈 2nd",IF(RANK(G16,G6:G25,0)=3,"🥉 3rd",""))),"—")</f>
        <v/>
      </c>
      <c r="J16" s="38">
        <f>IFERROR(IF(RANK(G16,G6:G25,0)=1,1000,IF(RANK(G16,G6:G25,0)=2,800,IF(RANK(G16,G6:G25,0)=3,600,""))),"—")</f>
        <v/>
      </c>
    </row>
    <row r="17" ht="22" customHeight="1">
      <c r="A17" s="15">
        <f>IFERROR(RANK(G17,G6:G25,0),"")</f>
        <v/>
      </c>
      <c r="B17" s="9" t="inlineStr"/>
      <c r="C17" s="9" t="inlineStr"/>
      <c r="D17" s="10" t="inlineStr"/>
      <c r="E17" s="10" t="inlineStr"/>
      <c r="F17" s="10" t="inlineStr"/>
      <c r="G17" s="39">
        <f>IFERROR(D17*$M$1+E17*$M$2+F17*$M$3,"")</f>
        <v/>
      </c>
      <c r="H17" s="40">
        <f>IFERROR(G17/4,"")</f>
        <v/>
      </c>
      <c r="I17" s="17">
        <f>IFERROR(IF(RANK(G17,G6:G25,0)=1,"🥇 1st",IF(RANK(G17,G6:G25,0)=2,"🥈 2nd",IF(RANK(G17,G6:G25,0)=3,"🥉 3rd",""))),"—")</f>
        <v/>
      </c>
      <c r="J17" s="41">
        <f>IFERROR(IF(RANK(G17,G6:G25,0)=1,1000,IF(RANK(G17,G6:G25,0)=2,800,IF(RANK(G17,G6:G25,0)=3,600,""))),"—")</f>
        <v/>
      </c>
    </row>
    <row r="18" ht="22" customHeight="1">
      <c r="A18" s="8">
        <f>IFERROR(RANK(G18,G6:G25,0),"")</f>
        <v/>
      </c>
      <c r="B18" s="9" t="inlineStr"/>
      <c r="C18" s="9" t="inlineStr"/>
      <c r="D18" s="10" t="inlineStr"/>
      <c r="E18" s="10" t="inlineStr"/>
      <c r="F18" s="10" t="inlineStr"/>
      <c r="G18" s="36">
        <f>IFERROR(D18*$M$1+E18*$M$2+F18*$M$3,"")</f>
        <v/>
      </c>
      <c r="H18" s="37">
        <f>IFERROR(G18/4,"")</f>
        <v/>
      </c>
      <c r="I18" s="12">
        <f>IFERROR(IF(RANK(G18,G6:G25,0)=1,"🥇 1st",IF(RANK(G18,G6:G25,0)=2,"🥈 2nd",IF(RANK(G18,G6:G25,0)=3,"🥉 3rd",""))),"—")</f>
        <v/>
      </c>
      <c r="J18" s="38">
        <f>IFERROR(IF(RANK(G18,G6:G25,0)=1,1000,IF(RANK(G18,G6:G25,0)=2,800,IF(RANK(G18,G6:G25,0)=3,600,""))),"—")</f>
        <v/>
      </c>
    </row>
    <row r="19" ht="22" customHeight="1">
      <c r="A19" s="15">
        <f>IFERROR(RANK(G19,G6:G25,0),"")</f>
        <v/>
      </c>
      <c r="B19" s="9" t="inlineStr"/>
      <c r="C19" s="9" t="inlineStr"/>
      <c r="D19" s="10" t="inlineStr"/>
      <c r="E19" s="10" t="inlineStr"/>
      <c r="F19" s="10" t="inlineStr"/>
      <c r="G19" s="39">
        <f>IFERROR(D19*$M$1+E19*$M$2+F19*$M$3,"")</f>
        <v/>
      </c>
      <c r="H19" s="40">
        <f>IFERROR(G19/4,"")</f>
        <v/>
      </c>
      <c r="I19" s="17">
        <f>IFERROR(IF(RANK(G19,G6:G25,0)=1,"🥇 1st",IF(RANK(G19,G6:G25,0)=2,"🥈 2nd",IF(RANK(G19,G6:G25,0)=3,"🥉 3rd",""))),"—")</f>
        <v/>
      </c>
      <c r="J19" s="41">
        <f>IFERROR(IF(RANK(G19,G6:G25,0)=1,1000,IF(RANK(G19,G6:G25,0)=2,800,IF(RANK(G19,G6:G25,0)=3,600,""))),"—")</f>
        <v/>
      </c>
    </row>
    <row r="20" ht="22" customHeight="1">
      <c r="A20" s="8">
        <f>IFERROR(RANK(G20,G6:G25,0),"")</f>
        <v/>
      </c>
      <c r="B20" s="9" t="inlineStr"/>
      <c r="C20" s="9" t="inlineStr"/>
      <c r="D20" s="10" t="inlineStr"/>
      <c r="E20" s="10" t="inlineStr"/>
      <c r="F20" s="10" t="inlineStr"/>
      <c r="G20" s="36">
        <f>IFERROR(D20*$M$1+E20*$M$2+F20*$M$3,"")</f>
        <v/>
      </c>
      <c r="H20" s="37">
        <f>IFERROR(G20/4,"")</f>
        <v/>
      </c>
      <c r="I20" s="12">
        <f>IFERROR(IF(RANK(G20,G6:G25,0)=1,"🥇 1st",IF(RANK(G20,G6:G25,0)=2,"🥈 2nd",IF(RANK(G20,G6:G25,0)=3,"🥉 3rd",""))),"—")</f>
        <v/>
      </c>
      <c r="J20" s="38">
        <f>IFERROR(IF(RANK(G20,G6:G25,0)=1,1000,IF(RANK(G20,G6:G25,0)=2,800,IF(RANK(G20,G6:G25,0)=3,600,""))),"—")</f>
        <v/>
      </c>
    </row>
    <row r="21" ht="22" customHeight="1">
      <c r="A21" s="15">
        <f>IFERROR(RANK(G21,G6:G25,0),"")</f>
        <v/>
      </c>
      <c r="B21" s="9" t="inlineStr"/>
      <c r="C21" s="9" t="inlineStr"/>
      <c r="D21" s="10" t="inlineStr"/>
      <c r="E21" s="10" t="inlineStr"/>
      <c r="F21" s="10" t="inlineStr"/>
      <c r="G21" s="39">
        <f>IFERROR(D21*$M$1+E21*$M$2+F21*$M$3,"")</f>
        <v/>
      </c>
      <c r="H21" s="40">
        <f>IFERROR(G21/4,"")</f>
        <v/>
      </c>
      <c r="I21" s="17">
        <f>IFERROR(IF(RANK(G21,G6:G25,0)=1,"🥇 1st",IF(RANK(G21,G6:G25,0)=2,"🥈 2nd",IF(RANK(G21,G6:G25,0)=3,"🥉 3rd",""))),"—")</f>
        <v/>
      </c>
      <c r="J21" s="41">
        <f>IFERROR(IF(RANK(G21,G6:G25,0)=1,1000,IF(RANK(G21,G6:G25,0)=2,800,IF(RANK(G21,G6:G25,0)=3,600,""))),"—")</f>
        <v/>
      </c>
    </row>
    <row r="22" ht="22" customHeight="1">
      <c r="A22" s="8">
        <f>IFERROR(RANK(G22,G6:G25,0),"")</f>
        <v/>
      </c>
      <c r="B22" s="9" t="inlineStr"/>
      <c r="C22" s="9" t="inlineStr"/>
      <c r="D22" s="10" t="inlineStr"/>
      <c r="E22" s="10" t="inlineStr"/>
      <c r="F22" s="10" t="inlineStr"/>
      <c r="G22" s="36">
        <f>IFERROR(D22*$M$1+E22*$M$2+F22*$M$3,"")</f>
        <v/>
      </c>
      <c r="H22" s="37">
        <f>IFERROR(G22/4,"")</f>
        <v/>
      </c>
      <c r="I22" s="12">
        <f>IFERROR(IF(RANK(G22,G6:G25,0)=1,"🥇 1st",IF(RANK(G22,G6:G25,0)=2,"🥈 2nd",IF(RANK(G22,G6:G25,0)=3,"🥉 3rd",""))),"—")</f>
        <v/>
      </c>
      <c r="J22" s="38">
        <f>IFERROR(IF(RANK(G22,G6:G25,0)=1,1000,IF(RANK(G22,G6:G25,0)=2,800,IF(RANK(G22,G6:G25,0)=3,600,""))),"—")</f>
        <v/>
      </c>
    </row>
    <row r="23" ht="22" customHeight="1">
      <c r="A23" s="15">
        <f>IFERROR(RANK(G23,G6:G25,0),"")</f>
        <v/>
      </c>
      <c r="B23" s="9" t="inlineStr"/>
      <c r="C23" s="9" t="inlineStr"/>
      <c r="D23" s="10" t="inlineStr"/>
      <c r="E23" s="10" t="inlineStr"/>
      <c r="F23" s="10" t="inlineStr"/>
      <c r="G23" s="39">
        <f>IFERROR(D23*$M$1+E23*$M$2+F23*$M$3,"")</f>
        <v/>
      </c>
      <c r="H23" s="40">
        <f>IFERROR(G23/4,"")</f>
        <v/>
      </c>
      <c r="I23" s="17">
        <f>IFERROR(IF(RANK(G23,G6:G25,0)=1,"🥇 1st",IF(RANK(G23,G6:G25,0)=2,"🥈 2nd",IF(RANK(G23,G6:G25,0)=3,"🥉 3rd",""))),"—")</f>
        <v/>
      </c>
      <c r="J23" s="41">
        <f>IFERROR(IF(RANK(G23,G6:G25,0)=1,1000,IF(RANK(G23,G6:G25,0)=2,800,IF(RANK(G23,G6:G25,0)=3,600,""))),"—")</f>
        <v/>
      </c>
    </row>
    <row r="24" ht="22" customHeight="1">
      <c r="A24" s="8">
        <f>IFERROR(RANK(G24,G6:G25,0),"")</f>
        <v/>
      </c>
      <c r="B24" s="9" t="inlineStr"/>
      <c r="C24" s="9" t="inlineStr"/>
      <c r="D24" s="10" t="inlineStr"/>
      <c r="E24" s="10" t="inlineStr"/>
      <c r="F24" s="10" t="inlineStr"/>
      <c r="G24" s="36">
        <f>IFERROR(D24*$M$1+E24*$M$2+F24*$M$3,"")</f>
        <v/>
      </c>
      <c r="H24" s="37">
        <f>IFERROR(G24/4,"")</f>
        <v/>
      </c>
      <c r="I24" s="12">
        <f>IFERROR(IF(RANK(G24,G6:G25,0)=1,"🥇 1st",IF(RANK(G24,G6:G25,0)=2,"🥈 2nd",IF(RANK(G24,G6:G25,0)=3,"🥉 3rd",""))),"—")</f>
        <v/>
      </c>
      <c r="J24" s="38">
        <f>IFERROR(IF(RANK(G24,G6:G25,0)=1,1000,IF(RANK(G24,G6:G25,0)=2,800,IF(RANK(G24,G6:G25,0)=3,600,""))),"—")</f>
        <v/>
      </c>
    </row>
    <row r="25" ht="22" customHeight="1">
      <c r="A25" s="15">
        <f>IFERROR(RANK(G25,G6:G25,0),"")</f>
        <v/>
      </c>
      <c r="B25" s="9" t="inlineStr"/>
      <c r="C25" s="9" t="inlineStr"/>
      <c r="D25" s="10" t="inlineStr"/>
      <c r="E25" s="10" t="inlineStr"/>
      <c r="F25" s="10" t="inlineStr"/>
      <c r="G25" s="39">
        <f>IFERROR(D25*$M$1+E25*$M$2+F25*$M$3,"")</f>
        <v/>
      </c>
      <c r="H25" s="40">
        <f>IFERROR(G25/4,"")</f>
        <v/>
      </c>
      <c r="I25" s="17">
        <f>IFERROR(IF(RANK(G25,G6:G25,0)=1,"🥇 1st",IF(RANK(G25,G6:G25,0)=2,"🥈 2nd",IF(RANK(G25,G6:G25,0)=3,"🥉 3rd",""))),"—")</f>
        <v/>
      </c>
      <c r="J25" s="41">
        <f>IFERROR(IF(RANK(G25,G6:G25,0)=1,1000,IF(RANK(G25,G6:G25,0)=2,800,IF(RANK(G25,G6:G25,0)=3,600,""))),"—")</f>
        <v/>
      </c>
    </row>
  </sheetData>
  <mergeCells count="5">
    <mergeCell ref="A1:J1"/>
    <mergeCell ref="D4:J4"/>
    <mergeCell ref="A3:J3"/>
    <mergeCell ref="A2:J2"/>
    <mergeCell ref="A4:C4"/>
  </mergeCells>
  <conditionalFormatting sqref="A6:J25">
    <cfRule type="expression" priority="1" dxfId="7">
      <formula>$A6=1</formula>
    </cfRule>
    <cfRule type="expression" priority="2" dxfId="8">
      <formula>$A6=2</formula>
    </cfRule>
    <cfRule type="expression" priority="3" dxfId="9">
      <formula>$A6=3</formula>
    </cfRule>
  </conditionalFormatting>
  <conditionalFormatting sqref="G6:G25">
    <cfRule type="dataBar" priority="4">
      <dataBar>
        <cfvo type="num" val="1"/>
        <cfvo type="num" val="4"/>
        <color rgb="00C8102E"/>
      </dataBar>
    </cfRule>
  </conditionalFormatting>
  <dataValidations count="1">
    <dataValidation sqref="D6:F25" showDropDown="0" showInputMessage="0" showErrorMessage="1" allowBlank="1" errorTitle="Invalid Score" error="Please enter a number between 1 and 4." type="whole" operator="between">
      <formula1>1</formula1>
      <formula2>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10" customWidth="1" min="4" max="4"/>
    <col width="14" customWidth="1" min="5" max="5"/>
    <col width="8" customWidth="1" min="6" max="6"/>
    <col width="18" customWidth="1" min="7" max="7"/>
  </cols>
  <sheetData>
    <row r="1" ht="38" customHeight="1">
      <c r="A1" s="1" t="inlineStr">
        <is>
          <t>PROMOTER LEADERBOARD — JUNE 2026</t>
        </is>
      </c>
    </row>
    <row r="2" ht="20" customHeight="1">
      <c r="A2" s="2" t="inlineStr">
        <is>
          <t>Auto-sorted by Total Points from the Promoter Tracker sheet</t>
        </is>
      </c>
    </row>
    <row r="3" ht="22" customHeight="1">
      <c r="A3" s="6" t="inlineStr">
        <is>
          <t>ℹ️  This leaderboard reads live from the Promoter Tracker sheet. It updates as you enter data.</t>
        </is>
      </c>
    </row>
    <row r="4" ht="24" customHeight="1">
      <c r="A4" s="7" t="inlineStr">
        <is>
          <t>Rank</t>
        </is>
      </c>
      <c r="B4" s="7" t="inlineStr">
        <is>
          <t>Promoter</t>
        </is>
      </c>
      <c r="C4" s="7" t="inlineStr">
        <is>
          <t>Store</t>
        </is>
      </c>
      <c r="D4" s="7" t="inlineStr">
        <is>
          <t>Points</t>
        </is>
      </c>
      <c r="E4" s="7" t="inlineStr">
        <is>
          <t>Level</t>
        </is>
      </c>
      <c r="F4" s="7" t="inlineStr">
        <is>
          <t>Badge</t>
        </is>
      </c>
      <c r="G4" s="7" t="inlineStr">
        <is>
          <t>Progress Bar</t>
        </is>
      </c>
    </row>
    <row r="5" ht="26" customHeight="1">
      <c r="A5" s="42" t="inlineStr">
        <is>
          <t>🥇</t>
        </is>
      </c>
      <c r="B5" s="43">
        <f>IFERROR(INDEX('Promoter Tracker'!B$5:B$24,MATCH(LARGE('Promoter Tracker'!H$5:H$24,1),'Promoter Tracker'!H$5:H$24,0)),"")</f>
        <v/>
      </c>
      <c r="C5" s="44">
        <f>IFERROR(INDEX('Promoter Tracker'!C$5:C$24,MATCH(LARGE('Promoter Tracker'!H$5:H$24,1),'Promoter Tracker'!H$5:H$24,0)),"")</f>
        <v/>
      </c>
      <c r="D5" s="45">
        <f>IFERROR(LARGE('Promoter Tracker'!H$5:H$24,1),"")</f>
        <v/>
      </c>
      <c r="E5" s="46">
        <f>IFERROR(INDEX('Promoter Tracker'!I$5:I$24,MATCH(LARGE('Promoter Tracker'!H$5:H$24,1),'Promoter Tracker'!H$5:H$24,0)),"")</f>
        <v/>
      </c>
      <c r="F5" s="47">
        <f>IFERROR(INDEX('Promoter Tracker'!J$5:J$24,MATCH(LARGE('Promoter Tracker'!H$5:H$24,1),'Promoter Tracker'!H$5:H$24,0)),"")</f>
        <v/>
      </c>
      <c r="G5" s="48">
        <f>IFERROR(LARGE('Promoter Tracker'!H$5:H$24,1)/150,"")</f>
        <v/>
      </c>
    </row>
    <row r="6" ht="26" customHeight="1">
      <c r="A6" s="42" t="inlineStr">
        <is>
          <t>🥈</t>
        </is>
      </c>
      <c r="B6" s="43">
        <f>IFERROR(INDEX('Promoter Tracker'!B$5:B$24,MATCH(LARGE('Promoter Tracker'!H$5:H$24,2),'Promoter Tracker'!H$5:H$24,0)),"")</f>
        <v/>
      </c>
      <c r="C6" s="44">
        <f>IFERROR(INDEX('Promoter Tracker'!C$5:C$24,MATCH(LARGE('Promoter Tracker'!H$5:H$24,2),'Promoter Tracker'!H$5:H$24,0)),"")</f>
        <v/>
      </c>
      <c r="D6" s="45">
        <f>IFERROR(LARGE('Promoter Tracker'!H$5:H$24,2),"")</f>
        <v/>
      </c>
      <c r="E6" s="46">
        <f>IFERROR(INDEX('Promoter Tracker'!I$5:I$24,MATCH(LARGE('Promoter Tracker'!H$5:H$24,2),'Promoter Tracker'!H$5:H$24,0)),"")</f>
        <v/>
      </c>
      <c r="F6" s="47">
        <f>IFERROR(INDEX('Promoter Tracker'!J$5:J$24,MATCH(LARGE('Promoter Tracker'!H$5:H$24,2),'Promoter Tracker'!H$5:H$24,0)),"")</f>
        <v/>
      </c>
      <c r="G6" s="48">
        <f>IFERROR(LARGE('Promoter Tracker'!H$5:H$24,2)/150,"")</f>
        <v/>
      </c>
    </row>
    <row r="7" ht="26" customHeight="1">
      <c r="A7" s="42" t="inlineStr">
        <is>
          <t>🥉</t>
        </is>
      </c>
      <c r="B7" s="43">
        <f>IFERROR(INDEX('Promoter Tracker'!B$5:B$24,MATCH(LARGE('Promoter Tracker'!H$5:H$24,3),'Promoter Tracker'!H$5:H$24,0)),"")</f>
        <v/>
      </c>
      <c r="C7" s="44">
        <f>IFERROR(INDEX('Promoter Tracker'!C$5:C$24,MATCH(LARGE('Promoter Tracker'!H$5:H$24,3),'Promoter Tracker'!H$5:H$24,0)),"")</f>
        <v/>
      </c>
      <c r="D7" s="45">
        <f>IFERROR(LARGE('Promoter Tracker'!H$5:H$24,3),"")</f>
        <v/>
      </c>
      <c r="E7" s="46">
        <f>IFERROR(INDEX('Promoter Tracker'!I$5:I$24,MATCH(LARGE('Promoter Tracker'!H$5:H$24,3),'Promoter Tracker'!H$5:H$24,0)),"")</f>
        <v/>
      </c>
      <c r="F7" s="47">
        <f>IFERROR(INDEX('Promoter Tracker'!J$5:J$24,MATCH(LARGE('Promoter Tracker'!H$5:H$24,3),'Promoter Tracker'!H$5:H$24,0)),"")</f>
        <v/>
      </c>
      <c r="G7" s="48">
        <f>IFERROR(LARGE('Promoter Tracker'!H$5:H$24,3)/150,"")</f>
        <v/>
      </c>
    </row>
    <row r="8" ht="22" customHeight="1">
      <c r="A8" s="16" t="inlineStr">
        <is>
          <t>4</t>
        </is>
      </c>
      <c r="B8" s="32">
        <f>IFERROR(INDEX('Promoter Tracker'!B$5:B$24,MATCH(LARGE('Promoter Tracker'!H$5:H$24,4),'Promoter Tracker'!H$5:H$24,0)),"")</f>
        <v/>
      </c>
      <c r="C8" s="32">
        <f>IFERROR(INDEX('Promoter Tracker'!C$5:C$24,MATCH(LARGE('Promoter Tracker'!H$5:H$24,4),'Promoter Tracker'!H$5:H$24,0)),"")</f>
        <v/>
      </c>
      <c r="D8" s="16">
        <f>IFERROR(LARGE('Promoter Tracker'!H$5:H$24,4),"")</f>
        <v/>
      </c>
      <c r="E8" s="17">
        <f>IFERROR(INDEX('Promoter Tracker'!I$5:I$24,MATCH(LARGE('Promoter Tracker'!H$5:H$24,4),'Promoter Tracker'!H$5:H$24,0)),"")</f>
        <v/>
      </c>
      <c r="F8" s="49">
        <f>IFERROR(INDEX('Promoter Tracker'!J$5:J$24,MATCH(LARGE('Promoter Tracker'!H$5:H$24,4),'Promoter Tracker'!H$5:H$24,0)),"")</f>
        <v/>
      </c>
      <c r="G8" s="40">
        <f>IFERROR(LARGE('Promoter Tracker'!H$5:H$24,4)/150,"")</f>
        <v/>
      </c>
    </row>
    <row r="9" ht="22" customHeight="1">
      <c r="A9" s="11" t="inlineStr">
        <is>
          <t>5</t>
        </is>
      </c>
      <c r="B9" s="27">
        <f>IFERROR(INDEX('Promoter Tracker'!B$5:B$24,MATCH(LARGE('Promoter Tracker'!H$5:H$24,5),'Promoter Tracker'!H$5:H$24,0)),"")</f>
        <v/>
      </c>
      <c r="C9" s="27">
        <f>IFERROR(INDEX('Promoter Tracker'!C$5:C$24,MATCH(LARGE('Promoter Tracker'!H$5:H$24,5),'Promoter Tracker'!H$5:H$24,0)),"")</f>
        <v/>
      </c>
      <c r="D9" s="11">
        <f>IFERROR(LARGE('Promoter Tracker'!H$5:H$24,5),"")</f>
        <v/>
      </c>
      <c r="E9" s="12">
        <f>IFERROR(INDEX('Promoter Tracker'!I$5:I$24,MATCH(LARGE('Promoter Tracker'!H$5:H$24,5),'Promoter Tracker'!H$5:H$24,0)),"")</f>
        <v/>
      </c>
      <c r="F9" s="50">
        <f>IFERROR(INDEX('Promoter Tracker'!J$5:J$24,MATCH(LARGE('Promoter Tracker'!H$5:H$24,5),'Promoter Tracker'!H$5:H$24,0)),"")</f>
        <v/>
      </c>
      <c r="G9" s="37">
        <f>IFERROR(LARGE('Promoter Tracker'!H$5:H$24,5)/150,"")</f>
        <v/>
      </c>
    </row>
    <row r="10" ht="22" customHeight="1">
      <c r="A10" s="16" t="inlineStr">
        <is>
          <t>6</t>
        </is>
      </c>
      <c r="B10" s="32">
        <f>IFERROR(INDEX('Promoter Tracker'!B$5:B$24,MATCH(LARGE('Promoter Tracker'!H$5:H$24,6),'Promoter Tracker'!H$5:H$24,0)),"")</f>
        <v/>
      </c>
      <c r="C10" s="32">
        <f>IFERROR(INDEX('Promoter Tracker'!C$5:C$24,MATCH(LARGE('Promoter Tracker'!H$5:H$24,6),'Promoter Tracker'!H$5:H$24,0)),"")</f>
        <v/>
      </c>
      <c r="D10" s="16">
        <f>IFERROR(LARGE('Promoter Tracker'!H$5:H$24,6),"")</f>
        <v/>
      </c>
      <c r="E10" s="17">
        <f>IFERROR(INDEX('Promoter Tracker'!I$5:I$24,MATCH(LARGE('Promoter Tracker'!H$5:H$24,6),'Promoter Tracker'!H$5:H$24,0)),"")</f>
        <v/>
      </c>
      <c r="F10" s="49">
        <f>IFERROR(INDEX('Promoter Tracker'!J$5:J$24,MATCH(LARGE('Promoter Tracker'!H$5:H$24,6),'Promoter Tracker'!H$5:H$24,0)),"")</f>
        <v/>
      </c>
      <c r="G10" s="40">
        <f>IFERROR(LARGE('Promoter Tracker'!H$5:H$24,6)/150,"")</f>
        <v/>
      </c>
    </row>
    <row r="11" ht="22" customHeight="1">
      <c r="A11" s="11" t="inlineStr">
        <is>
          <t>7</t>
        </is>
      </c>
      <c r="B11" s="27">
        <f>IFERROR(INDEX('Promoter Tracker'!B$5:B$24,MATCH(LARGE('Promoter Tracker'!H$5:H$24,7),'Promoter Tracker'!H$5:H$24,0)),"")</f>
        <v/>
      </c>
      <c r="C11" s="27">
        <f>IFERROR(INDEX('Promoter Tracker'!C$5:C$24,MATCH(LARGE('Promoter Tracker'!H$5:H$24,7),'Promoter Tracker'!H$5:H$24,0)),"")</f>
        <v/>
      </c>
      <c r="D11" s="11">
        <f>IFERROR(LARGE('Promoter Tracker'!H$5:H$24,7),"")</f>
        <v/>
      </c>
      <c r="E11" s="12">
        <f>IFERROR(INDEX('Promoter Tracker'!I$5:I$24,MATCH(LARGE('Promoter Tracker'!H$5:H$24,7),'Promoter Tracker'!H$5:H$24,0)),"")</f>
        <v/>
      </c>
      <c r="F11" s="50">
        <f>IFERROR(INDEX('Promoter Tracker'!J$5:J$24,MATCH(LARGE('Promoter Tracker'!H$5:H$24,7),'Promoter Tracker'!H$5:H$24,0)),"")</f>
        <v/>
      </c>
      <c r="G11" s="37">
        <f>IFERROR(LARGE('Promoter Tracker'!H$5:H$24,7)/150,"")</f>
        <v/>
      </c>
    </row>
    <row r="12" ht="22" customHeight="1">
      <c r="A12" s="16" t="inlineStr">
        <is>
          <t>8</t>
        </is>
      </c>
      <c r="B12" s="32">
        <f>IFERROR(INDEX('Promoter Tracker'!B$5:B$24,MATCH(LARGE('Promoter Tracker'!H$5:H$24,8),'Promoter Tracker'!H$5:H$24,0)),"")</f>
        <v/>
      </c>
      <c r="C12" s="32">
        <f>IFERROR(INDEX('Promoter Tracker'!C$5:C$24,MATCH(LARGE('Promoter Tracker'!H$5:H$24,8),'Promoter Tracker'!H$5:H$24,0)),"")</f>
        <v/>
      </c>
      <c r="D12" s="16">
        <f>IFERROR(LARGE('Promoter Tracker'!H$5:H$24,8),"")</f>
        <v/>
      </c>
      <c r="E12" s="17">
        <f>IFERROR(INDEX('Promoter Tracker'!I$5:I$24,MATCH(LARGE('Promoter Tracker'!H$5:H$24,8),'Promoter Tracker'!H$5:H$24,0)),"")</f>
        <v/>
      </c>
      <c r="F12" s="49">
        <f>IFERROR(INDEX('Promoter Tracker'!J$5:J$24,MATCH(LARGE('Promoter Tracker'!H$5:H$24,8),'Promoter Tracker'!H$5:H$24,0)),"")</f>
        <v/>
      </c>
      <c r="G12" s="40">
        <f>IFERROR(LARGE('Promoter Tracker'!H$5:H$24,8)/150,"")</f>
        <v/>
      </c>
    </row>
    <row r="13" ht="22" customHeight="1">
      <c r="A13" s="11" t="inlineStr">
        <is>
          <t>9</t>
        </is>
      </c>
      <c r="B13" s="27">
        <f>IFERROR(INDEX('Promoter Tracker'!B$5:B$24,MATCH(LARGE('Promoter Tracker'!H$5:H$24,9),'Promoter Tracker'!H$5:H$24,0)),"")</f>
        <v/>
      </c>
      <c r="C13" s="27">
        <f>IFERROR(INDEX('Promoter Tracker'!C$5:C$24,MATCH(LARGE('Promoter Tracker'!H$5:H$24,9),'Promoter Tracker'!H$5:H$24,0)),"")</f>
        <v/>
      </c>
      <c r="D13" s="11">
        <f>IFERROR(LARGE('Promoter Tracker'!H$5:H$24,9),"")</f>
        <v/>
      </c>
      <c r="E13" s="12">
        <f>IFERROR(INDEX('Promoter Tracker'!I$5:I$24,MATCH(LARGE('Promoter Tracker'!H$5:H$24,9),'Promoter Tracker'!H$5:H$24,0)),"")</f>
        <v/>
      </c>
      <c r="F13" s="50">
        <f>IFERROR(INDEX('Promoter Tracker'!J$5:J$24,MATCH(LARGE('Promoter Tracker'!H$5:H$24,9),'Promoter Tracker'!H$5:H$24,0)),"")</f>
        <v/>
      </c>
      <c r="G13" s="37">
        <f>IFERROR(LARGE('Promoter Tracker'!H$5:H$24,9)/150,"")</f>
        <v/>
      </c>
    </row>
    <row r="14" ht="22" customHeight="1">
      <c r="A14" s="16" t="inlineStr">
        <is>
          <t>10</t>
        </is>
      </c>
      <c r="B14" s="32">
        <f>IFERROR(INDEX('Promoter Tracker'!B$5:B$24,MATCH(LARGE('Promoter Tracker'!H$5:H$24,10),'Promoter Tracker'!H$5:H$24,0)),"")</f>
        <v/>
      </c>
      <c r="C14" s="32">
        <f>IFERROR(INDEX('Promoter Tracker'!C$5:C$24,MATCH(LARGE('Promoter Tracker'!H$5:H$24,10),'Promoter Tracker'!H$5:H$24,0)),"")</f>
        <v/>
      </c>
      <c r="D14" s="16">
        <f>IFERROR(LARGE('Promoter Tracker'!H$5:H$24,10),"")</f>
        <v/>
      </c>
      <c r="E14" s="17">
        <f>IFERROR(INDEX('Promoter Tracker'!I$5:I$24,MATCH(LARGE('Promoter Tracker'!H$5:H$24,10),'Promoter Tracker'!H$5:H$24,0)),"")</f>
        <v/>
      </c>
      <c r="F14" s="49">
        <f>IFERROR(INDEX('Promoter Tracker'!J$5:J$24,MATCH(LARGE('Promoter Tracker'!H$5:H$24,10),'Promoter Tracker'!H$5:H$24,0)),"")</f>
        <v/>
      </c>
      <c r="G14" s="40">
        <f>IFERROR(LARGE('Promoter Tracker'!H$5:H$24,10)/150,"")</f>
        <v/>
      </c>
    </row>
    <row r="15" ht="22" customHeight="1">
      <c r="A15" s="11" t="inlineStr">
        <is>
          <t>11</t>
        </is>
      </c>
      <c r="B15" s="27">
        <f>IFERROR(INDEX('Promoter Tracker'!B$5:B$24,MATCH(LARGE('Promoter Tracker'!H$5:H$24,11),'Promoter Tracker'!H$5:H$24,0)),"")</f>
        <v/>
      </c>
      <c r="C15" s="27">
        <f>IFERROR(INDEX('Promoter Tracker'!C$5:C$24,MATCH(LARGE('Promoter Tracker'!H$5:H$24,11),'Promoter Tracker'!H$5:H$24,0)),"")</f>
        <v/>
      </c>
      <c r="D15" s="11">
        <f>IFERROR(LARGE('Promoter Tracker'!H$5:H$24,11),"")</f>
        <v/>
      </c>
      <c r="E15" s="12">
        <f>IFERROR(INDEX('Promoter Tracker'!I$5:I$24,MATCH(LARGE('Promoter Tracker'!H$5:H$24,11),'Promoter Tracker'!H$5:H$24,0)),"")</f>
        <v/>
      </c>
      <c r="F15" s="50">
        <f>IFERROR(INDEX('Promoter Tracker'!J$5:J$24,MATCH(LARGE('Promoter Tracker'!H$5:H$24,11),'Promoter Tracker'!H$5:H$24,0)),"")</f>
        <v/>
      </c>
      <c r="G15" s="37">
        <f>IFERROR(LARGE('Promoter Tracker'!H$5:H$24,11)/150,"")</f>
        <v/>
      </c>
    </row>
    <row r="16" ht="22" customHeight="1">
      <c r="A16" s="16" t="inlineStr">
        <is>
          <t>12</t>
        </is>
      </c>
      <c r="B16" s="32">
        <f>IFERROR(INDEX('Promoter Tracker'!B$5:B$24,MATCH(LARGE('Promoter Tracker'!H$5:H$24,12),'Promoter Tracker'!H$5:H$24,0)),"")</f>
        <v/>
      </c>
      <c r="C16" s="32">
        <f>IFERROR(INDEX('Promoter Tracker'!C$5:C$24,MATCH(LARGE('Promoter Tracker'!H$5:H$24,12),'Promoter Tracker'!H$5:H$24,0)),"")</f>
        <v/>
      </c>
      <c r="D16" s="16">
        <f>IFERROR(LARGE('Promoter Tracker'!H$5:H$24,12),"")</f>
        <v/>
      </c>
      <c r="E16" s="17">
        <f>IFERROR(INDEX('Promoter Tracker'!I$5:I$24,MATCH(LARGE('Promoter Tracker'!H$5:H$24,12),'Promoter Tracker'!H$5:H$24,0)),"")</f>
        <v/>
      </c>
      <c r="F16" s="49">
        <f>IFERROR(INDEX('Promoter Tracker'!J$5:J$24,MATCH(LARGE('Promoter Tracker'!H$5:H$24,12),'Promoter Tracker'!H$5:H$24,0)),"")</f>
        <v/>
      </c>
      <c r="G16" s="40">
        <f>IFERROR(LARGE('Promoter Tracker'!H$5:H$24,12)/150,"")</f>
        <v/>
      </c>
    </row>
    <row r="17" ht="22" customHeight="1">
      <c r="A17" s="11" t="inlineStr">
        <is>
          <t>13</t>
        </is>
      </c>
      <c r="B17" s="27">
        <f>IFERROR(INDEX('Promoter Tracker'!B$5:B$24,MATCH(LARGE('Promoter Tracker'!H$5:H$24,13),'Promoter Tracker'!H$5:H$24,0)),"")</f>
        <v/>
      </c>
      <c r="C17" s="27">
        <f>IFERROR(INDEX('Promoter Tracker'!C$5:C$24,MATCH(LARGE('Promoter Tracker'!H$5:H$24,13),'Promoter Tracker'!H$5:H$24,0)),"")</f>
        <v/>
      </c>
      <c r="D17" s="11">
        <f>IFERROR(LARGE('Promoter Tracker'!H$5:H$24,13),"")</f>
        <v/>
      </c>
      <c r="E17" s="12">
        <f>IFERROR(INDEX('Promoter Tracker'!I$5:I$24,MATCH(LARGE('Promoter Tracker'!H$5:H$24,13),'Promoter Tracker'!H$5:H$24,0)),"")</f>
        <v/>
      </c>
      <c r="F17" s="50">
        <f>IFERROR(INDEX('Promoter Tracker'!J$5:J$24,MATCH(LARGE('Promoter Tracker'!H$5:H$24,13),'Promoter Tracker'!H$5:H$24,0)),"")</f>
        <v/>
      </c>
      <c r="G17" s="37">
        <f>IFERROR(LARGE('Promoter Tracker'!H$5:H$24,13)/150,"")</f>
        <v/>
      </c>
    </row>
    <row r="18" ht="22" customHeight="1">
      <c r="A18" s="16" t="inlineStr">
        <is>
          <t>14</t>
        </is>
      </c>
      <c r="B18" s="32">
        <f>IFERROR(INDEX('Promoter Tracker'!B$5:B$24,MATCH(LARGE('Promoter Tracker'!H$5:H$24,14),'Promoter Tracker'!H$5:H$24,0)),"")</f>
        <v/>
      </c>
      <c r="C18" s="32">
        <f>IFERROR(INDEX('Promoter Tracker'!C$5:C$24,MATCH(LARGE('Promoter Tracker'!H$5:H$24,14),'Promoter Tracker'!H$5:H$24,0)),"")</f>
        <v/>
      </c>
      <c r="D18" s="16">
        <f>IFERROR(LARGE('Promoter Tracker'!H$5:H$24,14),"")</f>
        <v/>
      </c>
      <c r="E18" s="17">
        <f>IFERROR(INDEX('Promoter Tracker'!I$5:I$24,MATCH(LARGE('Promoter Tracker'!H$5:H$24,14),'Promoter Tracker'!H$5:H$24,0)),"")</f>
        <v/>
      </c>
      <c r="F18" s="49">
        <f>IFERROR(INDEX('Promoter Tracker'!J$5:J$24,MATCH(LARGE('Promoter Tracker'!H$5:H$24,14),'Promoter Tracker'!H$5:H$24,0)),"")</f>
        <v/>
      </c>
      <c r="G18" s="40">
        <f>IFERROR(LARGE('Promoter Tracker'!H$5:H$24,14)/150,"")</f>
        <v/>
      </c>
    </row>
    <row r="19" ht="22" customHeight="1">
      <c r="A19" s="11" t="inlineStr">
        <is>
          <t>15</t>
        </is>
      </c>
      <c r="B19" s="27">
        <f>IFERROR(INDEX('Promoter Tracker'!B$5:B$24,MATCH(LARGE('Promoter Tracker'!H$5:H$24,15),'Promoter Tracker'!H$5:H$24,0)),"")</f>
        <v/>
      </c>
      <c r="C19" s="27">
        <f>IFERROR(INDEX('Promoter Tracker'!C$5:C$24,MATCH(LARGE('Promoter Tracker'!H$5:H$24,15),'Promoter Tracker'!H$5:H$24,0)),"")</f>
        <v/>
      </c>
      <c r="D19" s="11">
        <f>IFERROR(LARGE('Promoter Tracker'!H$5:H$24,15),"")</f>
        <v/>
      </c>
      <c r="E19" s="12">
        <f>IFERROR(INDEX('Promoter Tracker'!I$5:I$24,MATCH(LARGE('Promoter Tracker'!H$5:H$24,15),'Promoter Tracker'!H$5:H$24,0)),"")</f>
        <v/>
      </c>
      <c r="F19" s="50">
        <f>IFERROR(INDEX('Promoter Tracker'!J$5:J$24,MATCH(LARGE('Promoter Tracker'!H$5:H$24,15),'Promoter Tracker'!H$5:H$24,0)),"")</f>
        <v/>
      </c>
      <c r="G19" s="37">
        <f>IFERROR(LARGE('Promoter Tracker'!H$5:H$24,15)/150,"")</f>
        <v/>
      </c>
    </row>
    <row r="20" ht="22" customHeight="1">
      <c r="A20" s="16" t="inlineStr">
        <is>
          <t>16</t>
        </is>
      </c>
      <c r="B20" s="32">
        <f>IFERROR(INDEX('Promoter Tracker'!B$5:B$24,MATCH(LARGE('Promoter Tracker'!H$5:H$24,16),'Promoter Tracker'!H$5:H$24,0)),"")</f>
        <v/>
      </c>
      <c r="C20" s="32">
        <f>IFERROR(INDEX('Promoter Tracker'!C$5:C$24,MATCH(LARGE('Promoter Tracker'!H$5:H$24,16),'Promoter Tracker'!H$5:H$24,0)),"")</f>
        <v/>
      </c>
      <c r="D20" s="16">
        <f>IFERROR(LARGE('Promoter Tracker'!H$5:H$24,16),"")</f>
        <v/>
      </c>
      <c r="E20" s="17">
        <f>IFERROR(INDEX('Promoter Tracker'!I$5:I$24,MATCH(LARGE('Promoter Tracker'!H$5:H$24,16),'Promoter Tracker'!H$5:H$24,0)),"")</f>
        <v/>
      </c>
      <c r="F20" s="49">
        <f>IFERROR(INDEX('Promoter Tracker'!J$5:J$24,MATCH(LARGE('Promoter Tracker'!H$5:H$24,16),'Promoter Tracker'!H$5:H$24,0)),"")</f>
        <v/>
      </c>
      <c r="G20" s="40">
        <f>IFERROR(LARGE('Promoter Tracker'!H$5:H$24,16)/150,"")</f>
        <v/>
      </c>
    </row>
    <row r="21" ht="22" customHeight="1">
      <c r="A21" s="11" t="inlineStr">
        <is>
          <t>17</t>
        </is>
      </c>
      <c r="B21" s="27">
        <f>IFERROR(INDEX('Promoter Tracker'!B$5:B$24,MATCH(LARGE('Promoter Tracker'!H$5:H$24,17),'Promoter Tracker'!H$5:H$24,0)),"")</f>
        <v/>
      </c>
      <c r="C21" s="27">
        <f>IFERROR(INDEX('Promoter Tracker'!C$5:C$24,MATCH(LARGE('Promoter Tracker'!H$5:H$24,17),'Promoter Tracker'!H$5:H$24,0)),"")</f>
        <v/>
      </c>
      <c r="D21" s="11">
        <f>IFERROR(LARGE('Promoter Tracker'!H$5:H$24,17),"")</f>
        <v/>
      </c>
      <c r="E21" s="12">
        <f>IFERROR(INDEX('Promoter Tracker'!I$5:I$24,MATCH(LARGE('Promoter Tracker'!H$5:H$24,17),'Promoter Tracker'!H$5:H$24,0)),"")</f>
        <v/>
      </c>
      <c r="F21" s="50">
        <f>IFERROR(INDEX('Promoter Tracker'!J$5:J$24,MATCH(LARGE('Promoter Tracker'!H$5:H$24,17),'Promoter Tracker'!H$5:H$24,0)),"")</f>
        <v/>
      </c>
      <c r="G21" s="37">
        <f>IFERROR(LARGE('Promoter Tracker'!H$5:H$24,17)/150,"")</f>
        <v/>
      </c>
    </row>
    <row r="22" ht="22" customHeight="1">
      <c r="A22" s="16" t="inlineStr">
        <is>
          <t>18</t>
        </is>
      </c>
      <c r="B22" s="32">
        <f>IFERROR(INDEX('Promoter Tracker'!B$5:B$24,MATCH(LARGE('Promoter Tracker'!H$5:H$24,18),'Promoter Tracker'!H$5:H$24,0)),"")</f>
        <v/>
      </c>
      <c r="C22" s="32">
        <f>IFERROR(INDEX('Promoter Tracker'!C$5:C$24,MATCH(LARGE('Promoter Tracker'!H$5:H$24,18),'Promoter Tracker'!H$5:H$24,0)),"")</f>
        <v/>
      </c>
      <c r="D22" s="16">
        <f>IFERROR(LARGE('Promoter Tracker'!H$5:H$24,18),"")</f>
        <v/>
      </c>
      <c r="E22" s="17">
        <f>IFERROR(INDEX('Promoter Tracker'!I$5:I$24,MATCH(LARGE('Promoter Tracker'!H$5:H$24,18),'Promoter Tracker'!H$5:H$24,0)),"")</f>
        <v/>
      </c>
      <c r="F22" s="49">
        <f>IFERROR(INDEX('Promoter Tracker'!J$5:J$24,MATCH(LARGE('Promoter Tracker'!H$5:H$24,18),'Promoter Tracker'!H$5:H$24,0)),"")</f>
        <v/>
      </c>
      <c r="G22" s="40">
        <f>IFERROR(LARGE('Promoter Tracker'!H$5:H$24,18)/150,"")</f>
        <v/>
      </c>
    </row>
    <row r="23" ht="22" customHeight="1">
      <c r="A23" s="11" t="inlineStr">
        <is>
          <t>19</t>
        </is>
      </c>
      <c r="B23" s="27">
        <f>IFERROR(INDEX('Promoter Tracker'!B$5:B$24,MATCH(LARGE('Promoter Tracker'!H$5:H$24,19),'Promoter Tracker'!H$5:H$24,0)),"")</f>
        <v/>
      </c>
      <c r="C23" s="27">
        <f>IFERROR(INDEX('Promoter Tracker'!C$5:C$24,MATCH(LARGE('Promoter Tracker'!H$5:H$24,19),'Promoter Tracker'!H$5:H$24,0)),"")</f>
        <v/>
      </c>
      <c r="D23" s="11">
        <f>IFERROR(LARGE('Promoter Tracker'!H$5:H$24,19),"")</f>
        <v/>
      </c>
      <c r="E23" s="12">
        <f>IFERROR(INDEX('Promoter Tracker'!I$5:I$24,MATCH(LARGE('Promoter Tracker'!H$5:H$24,19),'Promoter Tracker'!H$5:H$24,0)),"")</f>
        <v/>
      </c>
      <c r="F23" s="50">
        <f>IFERROR(INDEX('Promoter Tracker'!J$5:J$24,MATCH(LARGE('Promoter Tracker'!H$5:H$24,19),'Promoter Tracker'!H$5:H$24,0)),"")</f>
        <v/>
      </c>
      <c r="G23" s="37">
        <f>IFERROR(LARGE('Promoter Tracker'!H$5:H$24,19)/150,"")</f>
        <v/>
      </c>
    </row>
    <row r="24" ht="22" customHeight="1">
      <c r="A24" s="16" t="inlineStr">
        <is>
          <t>20</t>
        </is>
      </c>
      <c r="B24" s="32">
        <f>IFERROR(INDEX('Promoter Tracker'!B$5:B$24,MATCH(LARGE('Promoter Tracker'!H$5:H$24,20),'Promoter Tracker'!H$5:H$24,0)),"")</f>
        <v/>
      </c>
      <c r="C24" s="32">
        <f>IFERROR(INDEX('Promoter Tracker'!C$5:C$24,MATCH(LARGE('Promoter Tracker'!H$5:H$24,20),'Promoter Tracker'!H$5:H$24,0)),"")</f>
        <v/>
      </c>
      <c r="D24" s="16">
        <f>IFERROR(LARGE('Promoter Tracker'!H$5:H$24,20),"")</f>
        <v/>
      </c>
      <c r="E24" s="17">
        <f>IFERROR(INDEX('Promoter Tracker'!I$5:I$24,MATCH(LARGE('Promoter Tracker'!H$5:H$24,20),'Promoter Tracker'!H$5:H$24,0)),"")</f>
        <v/>
      </c>
      <c r="F24" s="49">
        <f>IFERROR(INDEX('Promoter Tracker'!J$5:J$24,MATCH(LARGE('Promoter Tracker'!H$5:H$24,20),'Promoter Tracker'!H$5:H$24,0)),"")</f>
        <v/>
      </c>
      <c r="G24" s="40">
        <f>IFERROR(LARGE('Promoter Tracker'!H$5:H$24,20)/150,"")</f>
        <v/>
      </c>
    </row>
  </sheetData>
  <mergeCells count="3">
    <mergeCell ref="A3:G3"/>
    <mergeCell ref="A2:G2"/>
    <mergeCell ref="A1:G1"/>
  </mergeCells>
  <conditionalFormatting sqref="G5:G24">
    <cfRule type="dataBar" priority="1">
      <dataBar>
        <cfvo type="num" val="0"/>
        <cfvo type="num" val="1"/>
        <color rgb="00C8102E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2026-06-12T16:31:19Z</dcterms:created>
  <dcterms:modified xsi:type="dcterms:W3CDTF">2026-06-12T16:31:20Z</dcterms:modified>
</cp:coreProperties>
</file>